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T:\Medical_HIS\Medical_DTMED\Lapolo.HIS.ImportData\Lapolo.HIS.ImportData\IMPORT\"/>
    </mc:Choice>
  </mc:AlternateContent>
  <xr:revisionPtr revIDLastSave="0" documentId="13_ncr:1_{221117CC-D936-4A8B-8925-25341C0C433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hân viên" sheetId="1" r:id="rId1"/>
  </sheets>
  <definedNames>
    <definedName name="_xlnm._FilterDatabase" localSheetId="0" hidden="1">'Nhân viên'!$A$1:$S$1555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64" i="1" l="1"/>
  <c r="T165" i="1"/>
  <c r="T166" i="1"/>
  <c r="T167" i="1"/>
  <c r="T168" i="1"/>
  <c r="T18" i="1"/>
  <c r="T1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2" i="1"/>
  <c r="T169" i="1" l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<sst xmlns="http://schemas.openxmlformats.org/spreadsheetml/2006/main" count="2422" uniqueCount="1086">
  <si>
    <t>MãNV</t>
  </si>
  <si>
    <t>Họ tên</t>
  </si>
  <si>
    <t>Giới tính</t>
  </si>
  <si>
    <t>Xã - Huyện- Tỉnh</t>
  </si>
  <si>
    <t>Chức Danh</t>
  </si>
  <si>
    <t>Chức vụ</t>
  </si>
  <si>
    <t>Trình độ</t>
  </si>
  <si>
    <t>Số giấy phép hành nghề</t>
  </si>
  <si>
    <t>Ngày cấp</t>
  </si>
  <si>
    <t>Đơn vị cấp</t>
  </si>
  <si>
    <t>Chuyên khoa</t>
  </si>
  <si>
    <t>Cơ sở ban đầu</t>
  </si>
  <si>
    <t>Tên đăng nhập</t>
  </si>
  <si>
    <t>Tên in trên phiếu chỉ định, kết quả</t>
  </si>
  <si>
    <t>Nam</t>
  </si>
  <si>
    <t>Nhân viên</t>
  </si>
  <si>
    <t>Nữ</t>
  </si>
  <si>
    <t>Vũ Thị Nga</t>
  </si>
  <si>
    <t>Ngày sinh</t>
  </si>
  <si>
    <t>Khoa/ Phòng ban</t>
  </si>
  <si>
    <t>Bác sĩ</t>
  </si>
  <si>
    <t>Giám đốc</t>
  </si>
  <si>
    <t>Trưởng phòng</t>
  </si>
  <si>
    <t>Phòng Điều dưỡng</t>
  </si>
  <si>
    <t>Phòng Kế hoạch tổng hợp</t>
  </si>
  <si>
    <t>Phòng Công nghệ thông tin</t>
  </si>
  <si>
    <t>Trần Quang Vinh</t>
  </si>
  <si>
    <t>Nguyễn Thị Kim Phượng</t>
  </si>
  <si>
    <t>Nguyễn Thị Thu Hiền</t>
  </si>
  <si>
    <t>26/04/1992</t>
  </si>
  <si>
    <t>Nguyễn Thị Thu Thảo</t>
  </si>
  <si>
    <t>Võ Thị Thùy Trang</t>
  </si>
  <si>
    <t>Trưởng khoa</t>
  </si>
  <si>
    <t>Nguyễn Thị Anh Thư</t>
  </si>
  <si>
    <t>Nguyễn Trúc Linh</t>
  </si>
  <si>
    <t>Trần Thị Ngọc Hà</t>
  </si>
  <si>
    <t>Nguyễn Thị Hồng</t>
  </si>
  <si>
    <t>Khoa Gây mê hồi sức</t>
  </si>
  <si>
    <t>Khoa Dược</t>
  </si>
  <si>
    <t>Phạm Thị Giang</t>
  </si>
  <si>
    <t>27/09/1997</t>
  </si>
  <si>
    <t>Trần Thị Ngọc Phụng</t>
  </si>
  <si>
    <t>Nguyễn Thị Phượng</t>
  </si>
  <si>
    <t>Kỹ thuật viên chẩn đoán hình ảnh</t>
  </si>
  <si>
    <t>Dược sĩ</t>
  </si>
  <si>
    <t>Số CCCD</t>
  </si>
  <si>
    <t>Ngày cấp CCCD</t>
  </si>
  <si>
    <t>Nơi cấp</t>
  </si>
  <si>
    <t>Bộ Công An</t>
  </si>
  <si>
    <t>22/11/2021</t>
  </si>
  <si>
    <t>VM104</t>
  </si>
  <si>
    <t>Nguyễn Ngọc Linh</t>
  </si>
  <si>
    <t>Phường Hòa Hưng, Thành phố Hồ Chí Minh</t>
  </si>
  <si>
    <t>Ban Giám đốc</t>
  </si>
  <si>
    <t>Tổng Giám đốc</t>
  </si>
  <si>
    <t>BỆNH VIỆN ĐA KHOA VIỆT MỸ</t>
  </si>
  <si>
    <t>nguyenngoclinh</t>
  </si>
  <si>
    <t>079071006788</t>
  </si>
  <si>
    <t>Cục trưởng cục cảnh sát quản lý hành chính về trật tự xã hội</t>
  </si>
  <si>
    <t>VM063</t>
  </si>
  <si>
    <t>Nguyễn Tài Chánh</t>
  </si>
  <si>
    <t>Phường Bảy Hiền, Thành phố Hồ Chí Minh</t>
  </si>
  <si>
    <t>Giám đốc Chuyên môn</t>
  </si>
  <si>
    <t xml:space="preserve">Đại học </t>
  </si>
  <si>
    <t>002680/HCM-CCHN</t>
  </si>
  <si>
    <t>nguyentaichanh</t>
  </si>
  <si>
    <t>BS. Nguyễn Tài Chánh</t>
  </si>
  <si>
    <t>083068002728</t>
  </si>
  <si>
    <t>VM153</t>
  </si>
  <si>
    <t>Lâm Hoàng Cát Tiên</t>
  </si>
  <si>
    <t>Phó Giám đốc chuyên môn</t>
  </si>
  <si>
    <t>0024476/BYT-CCHN</t>
  </si>
  <si>
    <t>Bộ Y Tế</t>
  </si>
  <si>
    <t>lamhoangcattien</t>
  </si>
  <si>
    <t>BS. CKII. Lâm Hoàng Cát Tiên</t>
  </si>
  <si>
    <t>079178032601</t>
  </si>
  <si>
    <t>VM208</t>
  </si>
  <si>
    <t>Lâm Đặng Thành Diệp</t>
  </si>
  <si>
    <t>Trợ lý CTHĐQT</t>
  </si>
  <si>
    <t>Trợ lý</t>
  </si>
  <si>
    <t>lamdangthanhdiep</t>
  </si>
  <si>
    <t>052086000013</t>
  </si>
  <si>
    <t>VM232</t>
  </si>
  <si>
    <t>Trương Minh Tuyết</t>
  </si>
  <si>
    <t>Phường Mỹ Phước Tây, Tỉnh Đồng Tháp</t>
  </si>
  <si>
    <t>Thư ký Ban lãnh đạo</t>
  </si>
  <si>
    <t>Thư ký</t>
  </si>
  <si>
    <t>truongminhtuyet</t>
  </si>
  <si>
    <t>082302002156</t>
  </si>
  <si>
    <t>VM233</t>
  </si>
  <si>
    <t xml:space="preserve">Lê Hoàng Phi Ngân </t>
  </si>
  <si>
    <t>Ban chuyển đổi số</t>
  </si>
  <si>
    <t>Nhân viên Chuyển đổi số</t>
  </si>
  <si>
    <t>lehoangphingan</t>
  </si>
  <si>
    <t>Lê Hoàng Phi Ngân</t>
  </si>
  <si>
    <t>082305011404</t>
  </si>
  <si>
    <t>VM001</t>
  </si>
  <si>
    <t>Nguyễn Sỹ Hoàng</t>
  </si>
  <si>
    <t>Xã Nhà Bè, Thành phố Hồ Chí Minh</t>
  </si>
  <si>
    <t>Phòng Hành chính Nhân sự</t>
  </si>
  <si>
    <t>Trưởng phòng Hành chính Quản trị</t>
  </si>
  <si>
    <t>nguyensyhoang</t>
  </si>
  <si>
    <t>051080000031</t>
  </si>
  <si>
    <t>VM019</t>
  </si>
  <si>
    <t>Trương Thanh Phương Thủy</t>
  </si>
  <si>
    <t>Phường An Hội Tây, Thành phố Hồ Chí Minh</t>
  </si>
  <si>
    <t>Chuyên viên Hành chính nhân sự</t>
  </si>
  <si>
    <t>truongthanhphuongthuy</t>
  </si>
  <si>
    <t>079186020756</t>
  </si>
  <si>
    <t>VM157</t>
  </si>
  <si>
    <t>Phường Bình Hưng Hòa, Thành phố Hồ Chí Minh</t>
  </si>
  <si>
    <t>Chuyên viên Nhân sự</t>
  </si>
  <si>
    <t>phamthigiang</t>
  </si>
  <si>
    <t>036185026974</t>
  </si>
  <si>
    <t>VM039</t>
  </si>
  <si>
    <t>Hà Thị Ngọc Nhung</t>
  </si>
  <si>
    <t>Nhân viên Hành chính</t>
  </si>
  <si>
    <t>hathingocnhung</t>
  </si>
  <si>
    <t>052187002601</t>
  </si>
  <si>
    <t>VM234</t>
  </si>
  <si>
    <t>Bùi Thị Diễm</t>
  </si>
  <si>
    <t>Xã Thăng Điền, Thành phố Đà Nẵng</t>
  </si>
  <si>
    <t>buithidiem</t>
  </si>
  <si>
    <t>049196009200</t>
  </si>
  <si>
    <t>VM004</t>
  </si>
  <si>
    <t>Trần Phi Long</t>
  </si>
  <si>
    <t>Phường Tân Sơn Hòa, Thành phố Hồ Chí Minh</t>
  </si>
  <si>
    <t>Nhân viên Bảo trì</t>
  </si>
  <si>
    <t>tranphilong</t>
  </si>
  <si>
    <t>079077026079</t>
  </si>
  <si>
    <t>VM020</t>
  </si>
  <si>
    <t>Trương Công Tuấn</t>
  </si>
  <si>
    <t>Xã Lương Tài, Tỉnh Bắc Ninh</t>
  </si>
  <si>
    <t>truongcongtuan</t>
  </si>
  <si>
    <t>027087006594</t>
  </si>
  <si>
    <t>VM120</t>
  </si>
  <si>
    <t>Phạm Phong Thành Dũ</t>
  </si>
  <si>
    <t>Xã Hòa Hội, Tỉnh Gia Lai</t>
  </si>
  <si>
    <t>phamphongthanhdu</t>
  </si>
  <si>
    <t>Phạm Phong Thành Dữ</t>
  </si>
  <si>
    <t>052097017254</t>
  </si>
  <si>
    <t>VM189</t>
  </si>
  <si>
    <t>Nguyễn Hoàng Ân</t>
  </si>
  <si>
    <t>Xã Tân Nhựt, Thành phố Hồ Chí Minh</t>
  </si>
  <si>
    <t>Nhân viên Quản lý thiết bị Y tế</t>
  </si>
  <si>
    <t>nguyenhoangan</t>
  </si>
  <si>
    <t>087200016983</t>
  </si>
  <si>
    <t>VM151</t>
  </si>
  <si>
    <t>Trần Xuân Sang</t>
  </si>
  <si>
    <t>Phường Tam Bình, Thành phố Hồ Chí Minh</t>
  </si>
  <si>
    <t>Đội trưởng Bảo vệ</t>
  </si>
  <si>
    <t>Đội trưởng</t>
  </si>
  <si>
    <t>tranxuansang</t>
  </si>
  <si>
    <t>079082007160</t>
  </si>
  <si>
    <t>VM015</t>
  </si>
  <si>
    <t>Nguyễn Đăng Khoa</t>
  </si>
  <si>
    <t>Xã Tân Hòa, Tỉnh Vĩnh Long</t>
  </si>
  <si>
    <t>Nhân viên Bảo vệ</t>
  </si>
  <si>
    <t>nguyendangkhoa</t>
  </si>
  <si>
    <t>084092007495</t>
  </si>
  <si>
    <t>VM172</t>
  </si>
  <si>
    <t>Võ Minh Thoáng</t>
  </si>
  <si>
    <t>Phường Tân Hòa, Thành phố Hồ Chí Minh</t>
  </si>
  <si>
    <t>vominhthoang</t>
  </si>
  <si>
    <t>096203004112</t>
  </si>
  <si>
    <t>19/06/2021</t>
  </si>
  <si>
    <t>VM201</t>
  </si>
  <si>
    <t>Cù Vĩnh An</t>
  </si>
  <si>
    <t>Phường Chợ Quán, Thành phố Hồ Chí Minh</t>
  </si>
  <si>
    <t>cuvinhan</t>
  </si>
  <si>
    <t>Cù Vinh An</t>
  </si>
  <si>
    <t>079082002717</t>
  </si>
  <si>
    <t>VM229</t>
  </si>
  <si>
    <t>Nguyễn Trung Đạt</t>
  </si>
  <si>
    <t>nguyentrungdat</t>
  </si>
  <si>
    <t>079095013650</t>
  </si>
  <si>
    <t>VM231</t>
  </si>
  <si>
    <t>Trần Thanh Anh Khôi</t>
  </si>
  <si>
    <t>Phường Bình Tân, Thành phố Hồ Chí Minh</t>
  </si>
  <si>
    <t>tranthanhanhkhoi</t>
  </si>
  <si>
    <t>079204026019</t>
  </si>
  <si>
    <t>VM117</t>
  </si>
  <si>
    <t>Đinh Thị Kim Hoàng</t>
  </si>
  <si>
    <t>Nhân viên Hộ lý</t>
  </si>
  <si>
    <t>dinhthikimhoang</t>
  </si>
  <si>
    <t>086181001407</t>
  </si>
  <si>
    <t>VM026</t>
  </si>
  <si>
    <t>nguyenthithuthao</t>
  </si>
  <si>
    <t>079197014431</t>
  </si>
  <si>
    <t>VM051</t>
  </si>
  <si>
    <t>Nguyễn Thị Mến</t>
  </si>
  <si>
    <t>Xã Cái Ngang, Tỉnh Vĩnh Long</t>
  </si>
  <si>
    <t>nguyenthimen</t>
  </si>
  <si>
    <t>094185014920</t>
  </si>
  <si>
    <t>VM119</t>
  </si>
  <si>
    <t>Tổ trưởng Hộ lý</t>
  </si>
  <si>
    <t>Tổ trưởng</t>
  </si>
  <si>
    <t>nguyenthikimphuong</t>
  </si>
  <si>
    <t>079184035038</t>
  </si>
  <si>
    <t>VM178</t>
  </si>
  <si>
    <t>Lê Thị Thanh Thanh</t>
  </si>
  <si>
    <t>Phường Đông Hưng Thuận, Thành phố Hồ Chí Minh</t>
  </si>
  <si>
    <t>lethithanhthanh</t>
  </si>
  <si>
    <t>086184000127</t>
  </si>
  <si>
    <t>VM140</t>
  </si>
  <si>
    <t>Lý Kiều Tiên</t>
  </si>
  <si>
    <t>Phường Tân Phú, Thành phố Hồ Chí Minh</t>
  </si>
  <si>
    <t>lykieutien</t>
  </si>
  <si>
    <t>094191000048</t>
  </si>
  <si>
    <t>VM152</t>
  </si>
  <si>
    <t>Lý Kiều Diểm</t>
  </si>
  <si>
    <t>Xã Tân Long, Thành phố Cần Thơ</t>
  </si>
  <si>
    <t>lykieudiem</t>
  </si>
  <si>
    <t>Lý Kiều Diễm</t>
  </si>
  <si>
    <t>094189012921</t>
  </si>
  <si>
    <t>VM196</t>
  </si>
  <si>
    <t>Âu Quang An</t>
  </si>
  <si>
    <t>Xã Phước Lý, Tỉnh Tây Ninh</t>
  </si>
  <si>
    <t>auquangan</t>
  </si>
  <si>
    <t>094086002751</t>
  </si>
  <si>
    <t>VM210</t>
  </si>
  <si>
    <t>Lý Thị Kiều Ngân</t>
  </si>
  <si>
    <t>Phường Ngã Năm, Thành phố Cần Thơ</t>
  </si>
  <si>
    <t>lythikieungan</t>
  </si>
  <si>
    <t>094303000737</t>
  </si>
  <si>
    <t>VM225</t>
  </si>
  <si>
    <t>Nguyễn Thị Bích Trâm</t>
  </si>
  <si>
    <t>nguyenthibichtram</t>
  </si>
  <si>
    <t>079190011103</t>
  </si>
  <si>
    <t>VM197</t>
  </si>
  <si>
    <t>Lương Sơn Vũ</t>
  </si>
  <si>
    <t>Phường Điện Bàn, Thành phố Đà Nẵng</t>
  </si>
  <si>
    <t>Nhân viên Lái xe cứu thương</t>
  </si>
  <si>
    <t>luongsonvu</t>
  </si>
  <si>
    <t>049075068084</t>
  </si>
  <si>
    <t>VM148</t>
  </si>
  <si>
    <t>Lê Đức Tuấn</t>
  </si>
  <si>
    <t>Phường Phú Định, Thành phố Hồ Chí Minh</t>
  </si>
  <si>
    <t>Nhân viên Lái xe</t>
  </si>
  <si>
    <t>leductuan</t>
  </si>
  <si>
    <t>080073010020</t>
  </si>
  <si>
    <t>VM191</t>
  </si>
  <si>
    <t>Nguyễn Xuân Lâm</t>
  </si>
  <si>
    <t>Trưởng phòng Công nghệ thông tin</t>
  </si>
  <si>
    <t>nguyenxuanlam</t>
  </si>
  <si>
    <t>079085027148</t>
  </si>
  <si>
    <t>VM192</t>
  </si>
  <si>
    <t>Nguyễn Văn Đồng</t>
  </si>
  <si>
    <t>Nhân viên Công nghệ thông tin</t>
  </si>
  <si>
    <t>nguyenvandong</t>
  </si>
  <si>
    <t>054092003285</t>
  </si>
  <si>
    <t>VM103</t>
  </si>
  <si>
    <t>Nguyễn La Ngọc Lâm</t>
  </si>
  <si>
    <t>Phường Nhiêu Lộc, Thành phố Hồ Chí Minh</t>
  </si>
  <si>
    <t>nguyenlangoclam</t>
  </si>
  <si>
    <t>079091029862</t>
  </si>
  <si>
    <t>VM007</t>
  </si>
  <si>
    <t>Trần Quốc Cường</t>
  </si>
  <si>
    <t>Phòng Tài chính kế toán</t>
  </si>
  <si>
    <t>Kế toán Trưởng</t>
  </si>
  <si>
    <t>tranquoccuong</t>
  </si>
  <si>
    <t>083080005904</t>
  </si>
  <si>
    <t>VM118</t>
  </si>
  <si>
    <t>Phan Thị Đào</t>
  </si>
  <si>
    <t>Phường Vườn Lài, Thành phố Hồ Chí Minh</t>
  </si>
  <si>
    <t>Kế toán tổng hợp</t>
  </si>
  <si>
    <t>phanthidao</t>
  </si>
  <si>
    <t>083187000289</t>
  </si>
  <si>
    <t>VM021</t>
  </si>
  <si>
    <t>Bùi Phương Thảo</t>
  </si>
  <si>
    <t>Phường Lào Cai, Tỉnh Lào Cai</t>
  </si>
  <si>
    <t>Nhân viên Kế toán</t>
  </si>
  <si>
    <t>buiphuongthao</t>
  </si>
  <si>
    <t>010302006467</t>
  </si>
  <si>
    <t>VM016</t>
  </si>
  <si>
    <t>Lê Như Ngọc</t>
  </si>
  <si>
    <t>Phường Vinh Hưng, Tỉnh Nghệ An</t>
  </si>
  <si>
    <t>Nhân viên Thủ quỹ</t>
  </si>
  <si>
    <t>lenhungoc</t>
  </si>
  <si>
    <t>040184015052</t>
  </si>
  <si>
    <t>VM175</t>
  </si>
  <si>
    <t>Thái Thị Thanh Thùy</t>
  </si>
  <si>
    <t>16/07/2000</t>
  </si>
  <si>
    <t>Kế toán Kho</t>
  </si>
  <si>
    <t>thaithithanhthuy</t>
  </si>
  <si>
    <t>034300010334</t>
  </si>
  <si>
    <t>07/07/2025</t>
  </si>
  <si>
    <t>VM014</t>
  </si>
  <si>
    <t>Tôn Nữ Thị Ngọc Anh</t>
  </si>
  <si>
    <t>Phường An Phú, Thành phố Hồ Chí Minh</t>
  </si>
  <si>
    <t>Nhân viên Thu ngân</t>
  </si>
  <si>
    <t>tonnuthingocanh</t>
  </si>
  <si>
    <t>096188010853</t>
  </si>
  <si>
    <t>VM048</t>
  </si>
  <si>
    <t>Huỳnh Thị Tiền Giang</t>
  </si>
  <si>
    <t>Phường An Khê, Tỉnh Gia Lai</t>
  </si>
  <si>
    <t>huynhthitiengiang</t>
  </si>
  <si>
    <t>064302007898</t>
  </si>
  <si>
    <t>VM030</t>
  </si>
  <si>
    <t>Đinh Thị Mỹ Hoa</t>
  </si>
  <si>
    <t>dinhthimyhoa</t>
  </si>
  <si>
    <t>086302003754</t>
  </si>
  <si>
    <t>VM055</t>
  </si>
  <si>
    <t>Nguyễn Thị Cẩm Hằng</t>
  </si>
  <si>
    <t>Xã Bình Ninh, Tỉnh Đồng Tháp</t>
  </si>
  <si>
    <t>nguyenthicamhang</t>
  </si>
  <si>
    <t>082195014482</t>
  </si>
  <si>
    <t>VM056</t>
  </si>
  <si>
    <t>Phường Châu Đốc, Tỉnh An Giang</t>
  </si>
  <si>
    <t>tranthingocphung</t>
  </si>
  <si>
    <t>089301020952</t>
  </si>
  <si>
    <t>VM057</t>
  </si>
  <si>
    <t>Hồ Đỗ Quỳnh My</t>
  </si>
  <si>
    <t>Phường Bồng Sơn, Tỉnh Gia Lai</t>
  </si>
  <si>
    <t>hodoquynhmy</t>
  </si>
  <si>
    <t>Hồ Đồ Quỳnh My</t>
  </si>
  <si>
    <t>052190003864</t>
  </si>
  <si>
    <t>VM183</t>
  </si>
  <si>
    <t>Tôn Thị Tuyền</t>
  </si>
  <si>
    <t>Xã Sơn Tịnh, Tỉnh Quảng Ngãi</t>
  </si>
  <si>
    <t>tonthituyen</t>
  </si>
  <si>
    <t>051303004179</t>
  </si>
  <si>
    <t>VM054</t>
  </si>
  <si>
    <t>Hồ Quốc Vinh</t>
  </si>
  <si>
    <t>Phường Chánh Hưng, Thành phố Hồ Chí Minh</t>
  </si>
  <si>
    <t>Nhân viên Kho</t>
  </si>
  <si>
    <t>hoquocvinh</t>
  </si>
  <si>
    <t>079091022639</t>
  </si>
  <si>
    <t>VM214</t>
  </si>
  <si>
    <t>Nguyễn Trung Quảng</t>
  </si>
  <si>
    <t>Xã Bình Hiệp, Tỉnh Gia Lai</t>
  </si>
  <si>
    <t>nguyentrungquang</t>
  </si>
  <si>
    <t>052093002494</t>
  </si>
  <si>
    <t>VM230</t>
  </si>
  <si>
    <t>Nguyễn Hoàng Quỳnh Như</t>
  </si>
  <si>
    <t>Phường Minh Phụng, Thành phố Hồ Chí Minh</t>
  </si>
  <si>
    <t>nguyenhoangquynhnhu</t>
  </si>
  <si>
    <t>079187011041</t>
  </si>
  <si>
    <t>VM223</t>
  </si>
  <si>
    <t>Phan Thị Thu Hương</t>
  </si>
  <si>
    <t>Phường Quy Nhơn, Tỉnh Gia Lai</t>
  </si>
  <si>
    <t>Kế toán Viện phí</t>
  </si>
  <si>
    <t>phanthithuhuong</t>
  </si>
  <si>
    <t>052195007346</t>
  </si>
  <si>
    <t>VM255</t>
  </si>
  <si>
    <t>Nhiêu Kim Hiền</t>
  </si>
  <si>
    <t>Phường Bình Tiên, Thành phố Hồ Chí Minh</t>
  </si>
  <si>
    <t>nhieukimhien</t>
  </si>
  <si>
    <t>079187013257</t>
  </si>
  <si>
    <t>VM047</t>
  </si>
  <si>
    <t>Trần Thị Hồng Ngọc</t>
  </si>
  <si>
    <t>Xã Phước An, Tỉnh Đồng Nai</t>
  </si>
  <si>
    <t>Phòng Vật tư thiết bị</t>
  </si>
  <si>
    <t xml:space="preserve">Phụ trách Phòng Vật tư thiết bị </t>
  </si>
  <si>
    <t>tranthihongngoc</t>
  </si>
  <si>
    <t>052191009733</t>
  </si>
  <si>
    <t>VM059</t>
  </si>
  <si>
    <t>Phùng Nhật Linh</t>
  </si>
  <si>
    <t>Phường Diên Hồng, Thành phố Hồ Chí Minh</t>
  </si>
  <si>
    <t>Nhân viên Vật tư</t>
  </si>
  <si>
    <t>phungnhatlinh</t>
  </si>
  <si>
    <t>079191030246</t>
  </si>
  <si>
    <t>VM160</t>
  </si>
  <si>
    <t>Nguyễn Tuấn Ngọc</t>
  </si>
  <si>
    <t>Phường Bình Thạnh, Thành phố Hồ Chí Minh</t>
  </si>
  <si>
    <t>nguyentuanngoc</t>
  </si>
  <si>
    <t>079092016754</t>
  </si>
  <si>
    <t>09/03/2021</t>
  </si>
  <si>
    <t>VM174</t>
  </si>
  <si>
    <t>Nguyễn Lương Lệ Tuyết Nhi</t>
  </si>
  <si>
    <t>04/12/1998</t>
  </si>
  <si>
    <t>Xã Bình Chánh, Thành phố Hồ Chí Minh</t>
  </si>
  <si>
    <t>Nhân viên Vật tư Thiết bị</t>
  </si>
  <si>
    <t>nguyenluongletuyetnhi</t>
  </si>
  <si>
    <t>079198019961</t>
  </si>
  <si>
    <t>VM227</t>
  </si>
  <si>
    <t>Lê Ngọc Quỳnh Anh</t>
  </si>
  <si>
    <t>Phường Diên Hồng, Tỉnh Gia Lai</t>
  </si>
  <si>
    <t>Phụ trách Phòng KHTH</t>
  </si>
  <si>
    <t>Phụ trách</t>
  </si>
  <si>
    <t>lengocquynhanh</t>
  </si>
  <si>
    <t>068183001333</t>
  </si>
  <si>
    <t>VM018</t>
  </si>
  <si>
    <t>Xã Hòn Đất, Tỉnh An Giang</t>
  </si>
  <si>
    <t>Nhân viên Quản lý chất lượng</t>
  </si>
  <si>
    <t>tranthingocha</t>
  </si>
  <si>
    <t>091193007843</t>
  </si>
  <si>
    <t>VM209</t>
  </si>
  <si>
    <t>Nguyễn Ngọc Song Kiều</t>
  </si>
  <si>
    <t>Phường Sa Huỳnh, Tỉnh Quảng Ngãi</t>
  </si>
  <si>
    <t>Nhân viên Bảo hiểm tư nhân</t>
  </si>
  <si>
    <t>nguyenngocsongkieu</t>
  </si>
  <si>
    <t>051193017637</t>
  </si>
  <si>
    <t>VM024</t>
  </si>
  <si>
    <t>Lê Mộng Điệp Thuỷ Tiên</t>
  </si>
  <si>
    <t>Phường Phú Thuận, Thành phố Hồ Chí Minh</t>
  </si>
  <si>
    <t>Nhân viên Kế hoạch Tổng hợp</t>
  </si>
  <si>
    <t>lemongdiepthuytien</t>
  </si>
  <si>
    <t>Lê Mộng Điệp Thủy Tiên</t>
  </si>
  <si>
    <t>068300007272</t>
  </si>
  <si>
    <t>VM241</t>
  </si>
  <si>
    <t>Nguyễn Sỹ Khôi</t>
  </si>
  <si>
    <t>Phường Xuân Hòa, Thành phố Hồ Chí Minh</t>
  </si>
  <si>
    <t>Chuyên viên Kế hoạch tổng hợp</t>
  </si>
  <si>
    <t>041105/HCM-CCHN</t>
  </si>
  <si>
    <t>nguyensykhoi</t>
  </si>
  <si>
    <t>079085004988</t>
  </si>
  <si>
    <t>VM244</t>
  </si>
  <si>
    <t>Phạm Thị Tuyết Anh</t>
  </si>
  <si>
    <t>Nhân viên Bảo hiểm</t>
  </si>
  <si>
    <t>phamthituyetanh</t>
  </si>
  <si>
    <t>034181017630</t>
  </si>
  <si>
    <t>VM184</t>
  </si>
  <si>
    <t>Trịnh Thanh Tâm</t>
  </si>
  <si>
    <t>Xã Tân Thành, Tỉnh Lâm Đồng</t>
  </si>
  <si>
    <t>Tổ trưởng Kiểm soát Nhiễm khuẩn</t>
  </si>
  <si>
    <t>trinhthanhtam</t>
  </si>
  <si>
    <t>060091012682</t>
  </si>
  <si>
    <t>VM193</t>
  </si>
  <si>
    <t>Chu Thị Dung</t>
  </si>
  <si>
    <t>Phường An Lạc, Thành phố Hồ Chí Minh</t>
  </si>
  <si>
    <t>Nhân viên Tiếp liệu Thanh trùng</t>
  </si>
  <si>
    <t>011218/HCM-GPHN</t>
  </si>
  <si>
    <t>chuthidung</t>
  </si>
  <si>
    <t>025178000886</t>
  </si>
  <si>
    <t>VM090</t>
  </si>
  <si>
    <t>Trần Bách Tùng</t>
  </si>
  <si>
    <t>Phường Vĩnh Tế, Tỉnh An Giang</t>
  </si>
  <si>
    <t xml:space="preserve">Nhân viên Kiểm soát nhiễm khuẩn </t>
  </si>
  <si>
    <t>060071/HCM-CCHN</t>
  </si>
  <si>
    <t>tranbachtung</t>
  </si>
  <si>
    <t>089096015734</t>
  </si>
  <si>
    <t>VM181</t>
  </si>
  <si>
    <t>Nguyễn Ngọc Trọng Tấn</t>
  </si>
  <si>
    <t>Xã Bà Điểm, Thành phố Hồ Chí Minh</t>
  </si>
  <si>
    <t>nguyenngoctrongtan</t>
  </si>
  <si>
    <t>079202032925</t>
  </si>
  <si>
    <t>VM261</t>
  </si>
  <si>
    <t>Võ Hoàng Bảo Ngọc</t>
  </si>
  <si>
    <t>Phường Vĩnh Hội, Thành phố Hồ Chí Minh</t>
  </si>
  <si>
    <t>vohoangbaongoc</t>
  </si>
  <si>
    <t>079193003912</t>
  </si>
  <si>
    <t>VM060</t>
  </si>
  <si>
    <t>Nguyễn Thùy Linh</t>
  </si>
  <si>
    <t>Phường Vĩnh Tuy, Thành phố Hà Nội</t>
  </si>
  <si>
    <t>Phòng Marketing - Kinh doanh</t>
  </si>
  <si>
    <t>Trưởng phòng Marketing - Kinh doanh</t>
  </si>
  <si>
    <t>nguyenthuylinh</t>
  </si>
  <si>
    <t>001192002248</t>
  </si>
  <si>
    <t>VM199</t>
  </si>
  <si>
    <t>Trần Nhật Khanh</t>
  </si>
  <si>
    <t>Phường Tân Bình, Thành phố Hồ Chí Minh</t>
  </si>
  <si>
    <t>Phó phòng Marketing</t>
  </si>
  <si>
    <t>Phó phòng</t>
  </si>
  <si>
    <t>trannhatkhanh</t>
  </si>
  <si>
    <t>079091000066</t>
  </si>
  <si>
    <t>VM121</t>
  </si>
  <si>
    <t>Trần Thị Kim Tâm</t>
  </si>
  <si>
    <t>Xã Hòa Bình, Tỉnh Cà Mau</t>
  </si>
  <si>
    <t>Nhân viên Truyền thông</t>
  </si>
  <si>
    <t>tranthikimtam</t>
  </si>
  <si>
    <t>095197002479</t>
  </si>
  <si>
    <t>VM216</t>
  </si>
  <si>
    <t>Phan Nguyễn Ngọc Trâm</t>
  </si>
  <si>
    <t>Xã Mỹ Yên, Tỉnh Tây Ninh</t>
  </si>
  <si>
    <t>Nhân viên Thiết kế</t>
  </si>
  <si>
    <t>phannguyenngoctram</t>
  </si>
  <si>
    <t>080197015559</t>
  </si>
  <si>
    <t>VM251</t>
  </si>
  <si>
    <t>Nguyễn Hữu Toàn</t>
  </si>
  <si>
    <t>Xã Tuy An Tây, Tỉnh Đắk Lắk</t>
  </si>
  <si>
    <t>Nhân viên Digital (Mảng web)</t>
  </si>
  <si>
    <t>nguyenhuutoan</t>
  </si>
  <si>
    <t>054099003023</t>
  </si>
  <si>
    <t>VM252</t>
  </si>
  <si>
    <t>Trương Thanh Phương Linh</t>
  </si>
  <si>
    <t>truongthanhphuonglinh</t>
  </si>
  <si>
    <t>068189000402</t>
  </si>
  <si>
    <t>VM253</t>
  </si>
  <si>
    <t>Đào Ngọc Thể</t>
  </si>
  <si>
    <t>Phường Lý Văn Lâm, Tỉnh Cà Mau</t>
  </si>
  <si>
    <t>daongocthe</t>
  </si>
  <si>
    <t>096190018588</t>
  </si>
  <si>
    <t>VM254</t>
  </si>
  <si>
    <t>Nguyễn Duy Thiện</t>
  </si>
  <si>
    <t>Xã Châu Thành, Tỉnh Tây Ninh</t>
  </si>
  <si>
    <t>Nhân viên Media</t>
  </si>
  <si>
    <t>nguyenduythien</t>
  </si>
  <si>
    <t>072097006198</t>
  </si>
  <si>
    <t>VM260</t>
  </si>
  <si>
    <t>Hồ Thanh Huy</t>
  </si>
  <si>
    <t>Trưởng nhóm Truyền thông</t>
  </si>
  <si>
    <t>hothanhhuy</t>
  </si>
  <si>
    <t>079091001707</t>
  </si>
  <si>
    <t>VM242</t>
  </si>
  <si>
    <t>Trần Thị Hà Đông</t>
  </si>
  <si>
    <t>Phó phòng Kinh doanh</t>
  </si>
  <si>
    <t>tranthihadong</t>
  </si>
  <si>
    <t>046177000207</t>
  </si>
  <si>
    <t>VM170</t>
  </si>
  <si>
    <t>Nguyễn Hoàng Sơn</t>
  </si>
  <si>
    <t>12/04/1985</t>
  </si>
  <si>
    <t>nguyenhoangson</t>
  </si>
  <si>
    <t>079085011666</t>
  </si>
  <si>
    <t>VM188</t>
  </si>
  <si>
    <t>Phường Tân Thuận, Thành phố Hồ Chí Minh</t>
  </si>
  <si>
    <t>Nhân viên Kinh doanh</t>
  </si>
  <si>
    <t>nguyentruclinh</t>
  </si>
  <si>
    <t>096187003676</t>
  </si>
  <si>
    <t>VM058</t>
  </si>
  <si>
    <t>Trần Văn Lộc</t>
  </si>
  <si>
    <t>Phường Bình Đông, Thành phố Hồ Chí Minh</t>
  </si>
  <si>
    <t>tranvanloc</t>
  </si>
  <si>
    <t>037089014217</t>
  </si>
  <si>
    <t>VM166</t>
  </si>
  <si>
    <t>Huỳnh Ngọc Hải</t>
  </si>
  <si>
    <t>23/08/2000</t>
  </si>
  <si>
    <t>Phường Tân Hưng, Thành phố Hồ Chí Minh</t>
  </si>
  <si>
    <t>huynhngochai</t>
  </si>
  <si>
    <t>064200011226</t>
  </si>
  <si>
    <t>09/08/2025</t>
  </si>
  <si>
    <t>VM061</t>
  </si>
  <si>
    <t>Nguyễn Thành Đô</t>
  </si>
  <si>
    <t>Phường Phú Mỹ, Thành phố Hồ Chí Minh</t>
  </si>
  <si>
    <t>Phòng Dịch vụ Khách hàng</t>
  </si>
  <si>
    <t>Trưởng nhóm Dịch vụ khách hàng</t>
  </si>
  <si>
    <t>Trưởng nhóm</t>
  </si>
  <si>
    <t>nguyenthanhdo</t>
  </si>
  <si>
    <t>077091002439</t>
  </si>
  <si>
    <t>VM062</t>
  </si>
  <si>
    <t>Nguyễn Bích Nữ</t>
  </si>
  <si>
    <t>Phường Tam Quan, Tỉnh Gia Lai</t>
  </si>
  <si>
    <t>Nhân viên Dịch vụ khách hàng</t>
  </si>
  <si>
    <t>nguyenbichnu</t>
  </si>
  <si>
    <t>052197007069</t>
  </si>
  <si>
    <t>VM035</t>
  </si>
  <si>
    <t>Huỳnh Thanh Thủy</t>
  </si>
  <si>
    <t>huynhthanhthuy</t>
  </si>
  <si>
    <t>026194000741</t>
  </si>
  <si>
    <t>VM036</t>
  </si>
  <si>
    <t>Hoàng Hồng Nhung</t>
  </si>
  <si>
    <t>hoanghongnhung</t>
  </si>
  <si>
    <t>079199012638</t>
  </si>
  <si>
    <t>VM124</t>
  </si>
  <si>
    <t>Xã Tân An, Tỉnh Vĩnh Long</t>
  </si>
  <si>
    <t>nguyenthianhthu</t>
  </si>
  <si>
    <t>084302009388</t>
  </si>
  <si>
    <t>VM136</t>
  </si>
  <si>
    <t>Tô Thất Bảo</t>
  </si>
  <si>
    <t>Phường Thới An, Thành phố Hồ Chí Minh</t>
  </si>
  <si>
    <t>tothatbao</t>
  </si>
  <si>
    <t>079089014348</t>
  </si>
  <si>
    <t>VM190</t>
  </si>
  <si>
    <t>Võ Phạm Huỳnh Mai</t>
  </si>
  <si>
    <t>Xã Tiên Thủy, Tỉnh Vĩnh Long</t>
  </si>
  <si>
    <t>vophamhuynhmai</t>
  </si>
  <si>
    <t>082196003752</t>
  </si>
  <si>
    <t>VM215</t>
  </si>
  <si>
    <t>Võ Duy Cường</t>
  </si>
  <si>
    <t>Xã Lục Sĩ Thành, Tỉnh Vĩnh Long</t>
  </si>
  <si>
    <t>voduycuong</t>
  </si>
  <si>
    <t>086097008616</t>
  </si>
  <si>
    <t>VM066</t>
  </si>
  <si>
    <t>Nguyễn Thị Dững</t>
  </si>
  <si>
    <t>Phường Xóm Chiếu, Thành phố Hồ Chí Minh</t>
  </si>
  <si>
    <t>Khoa Nội Tổng hợp</t>
  </si>
  <si>
    <t>002605/BYT-CCHN</t>
  </si>
  <si>
    <t>nguyenthidung</t>
  </si>
  <si>
    <t>BS.CKII. Nguyễn Thị Dưỡng</t>
  </si>
  <si>
    <t>082165015783</t>
  </si>
  <si>
    <t>VM064</t>
  </si>
  <si>
    <t>Trần Vũ Minh Phát</t>
  </si>
  <si>
    <t>0016016HCM-CCHN</t>
  </si>
  <si>
    <t>tranvuminhphat</t>
  </si>
  <si>
    <t>072182011098</t>
  </si>
  <si>
    <t>VM168</t>
  </si>
  <si>
    <t>Trần Quang Duy</t>
  </si>
  <si>
    <t>Xã Hiệp Đức, Tỉnh Đồng Tháp</t>
  </si>
  <si>
    <t>0029477/HCM-CCHN</t>
  </si>
  <si>
    <t>tranquangduy</t>
  </si>
  <si>
    <t>Ths. BS. Trần Quang Duy</t>
  </si>
  <si>
    <t>082181011379</t>
  </si>
  <si>
    <t>VM257</t>
  </si>
  <si>
    <t>Trần Quốc Việt</t>
  </si>
  <si>
    <t>041099/CCHN-BQP</t>
  </si>
  <si>
    <t>Bộ Quốc Phòng</t>
  </si>
  <si>
    <t>tranquocviet</t>
  </si>
  <si>
    <t>BS.CKII. Trần Quốc Việt</t>
  </si>
  <si>
    <t>049065000332</t>
  </si>
  <si>
    <t>VM095</t>
  </si>
  <si>
    <t>Đoàn Thị Oanh</t>
  </si>
  <si>
    <t>Trưởng nhóm Điều dưỡng</t>
  </si>
  <si>
    <t>008242/ĐNA-CCHN</t>
  </si>
  <si>
    <t>doanthioanh</t>
  </si>
  <si>
    <t>044194017995</t>
  </si>
  <si>
    <t>VM094</t>
  </si>
  <si>
    <t>Điều dưỡng phòng khám</t>
  </si>
  <si>
    <t>053237/HCM-CCHN</t>
  </si>
  <si>
    <t>vuthinga</t>
  </si>
  <si>
    <t>027190010260</t>
  </si>
  <si>
    <t>VM089</t>
  </si>
  <si>
    <t>Nguyễn Thị Thảo Nguyên</t>
  </si>
  <si>
    <t>Phường Sơn Đông, Tỉnh Vĩnh Long</t>
  </si>
  <si>
    <t>0002738/BTR-CCHN</t>
  </si>
  <si>
    <t>nguyenthithaonguyen</t>
  </si>
  <si>
    <t>083193014170</t>
  </si>
  <si>
    <t>VM111</t>
  </si>
  <si>
    <t>Nguyễn Thị Mơ Dung</t>
  </si>
  <si>
    <t>Phường Tân Sơn, Thành phố Hồ Chí Minh</t>
  </si>
  <si>
    <t>003653/HCM-CCHN</t>
  </si>
  <si>
    <t>nguyenthimodung</t>
  </si>
  <si>
    <t>049186000306</t>
  </si>
  <si>
    <t>VM202</t>
  </si>
  <si>
    <t>Đặng Công Lễ</t>
  </si>
  <si>
    <t xml:space="preserve">Phòng Cấp cứu - Khoa Khám bệnh </t>
  </si>
  <si>
    <t>0034048/HCM-CCHN</t>
  </si>
  <si>
    <t>dangcongle</t>
  </si>
  <si>
    <t>BS. Đặng Công Lễ</t>
  </si>
  <si>
    <t>080086000422</t>
  </si>
  <si>
    <t>VM092</t>
  </si>
  <si>
    <t>Lê Nguyễn Hoàng Anh Khoa</t>
  </si>
  <si>
    <t>Xã Bến Lức, Tỉnh Tây Ninh</t>
  </si>
  <si>
    <t>007617/LA-CCHN</t>
  </si>
  <si>
    <t>lenguyenhoanganhkhoa</t>
  </si>
  <si>
    <t>080094001100</t>
  </si>
  <si>
    <t>VM165</t>
  </si>
  <si>
    <t>Nguyễn Ngọc Mai Trâm</t>
  </si>
  <si>
    <t>Điều dưỡng cấp cứu</t>
  </si>
  <si>
    <t>053971/HCM-CCHN</t>
  </si>
  <si>
    <t>17/05/2022</t>
  </si>
  <si>
    <t>nguyenngocmaitram</t>
  </si>
  <si>
    <t>079197004471</t>
  </si>
  <si>
    <t>07/01/2022</t>
  </si>
  <si>
    <t>VM150</t>
  </si>
  <si>
    <t>Lê Hoàng Mỹ</t>
  </si>
  <si>
    <t>Nhân viên phụ trách Hành chính</t>
  </si>
  <si>
    <t>lehoangmy</t>
  </si>
  <si>
    <t>079093013472</t>
  </si>
  <si>
    <t>VM221</t>
  </si>
  <si>
    <t xml:space="preserve">Đinh Văn Thành </t>
  </si>
  <si>
    <t>Phường Trung Mỹ Tây, Thành phố Hồ Chí Minh</t>
  </si>
  <si>
    <t>Khoa Ngoại Tổng hợp</t>
  </si>
  <si>
    <t>0000975/ĐNO-CCHN</t>
  </si>
  <si>
    <t>dinhvanthanh</t>
  </si>
  <si>
    <t>BS. Đinh Văn Thành</t>
  </si>
  <si>
    <t>038080022502</t>
  </si>
  <si>
    <t>VM147</t>
  </si>
  <si>
    <t>Ngô Đặng Phú Phước</t>
  </si>
  <si>
    <t>Xã Krông Năng, Tỉnh Đắk Lắk</t>
  </si>
  <si>
    <t>008514/HCM-GPHN</t>
  </si>
  <si>
    <t>ngodangphuphuoc</t>
  </si>
  <si>
    <t>066095020104</t>
  </si>
  <si>
    <t>VM144</t>
  </si>
  <si>
    <t>Tôn Nữ Phương Duyên</t>
  </si>
  <si>
    <t>Phường Xuân Trường - Đà Lạt, Tỉnh Lâm Đồng</t>
  </si>
  <si>
    <t>0005645/GL-CCHN</t>
  </si>
  <si>
    <t>tonnuphuongduyen</t>
  </si>
  <si>
    <t>BS. Tôn Nữ Phương Duyên</t>
  </si>
  <si>
    <t>068193007808</t>
  </si>
  <si>
    <t>VM213</t>
  </si>
  <si>
    <t>Nguyễn Đức Hưng</t>
  </si>
  <si>
    <t>Phường Hạnh Thông, Thành phố Hồ Chí Minh</t>
  </si>
  <si>
    <t>056409/HCM-CCHN</t>
  </si>
  <si>
    <t>nguyenduchung</t>
  </si>
  <si>
    <t>BS. Nguyễn Đức Hưng</t>
  </si>
  <si>
    <t>079095013210</t>
  </si>
  <si>
    <t>VM258</t>
  </si>
  <si>
    <t>Đoàn Nguyên Bình</t>
  </si>
  <si>
    <t>053857/HCM-CCHN</t>
  </si>
  <si>
    <t>doannguyenbinh</t>
  </si>
  <si>
    <t>BS. Đoàn Nguyên Bình</t>
  </si>
  <si>
    <t>034095010601</t>
  </si>
  <si>
    <t>VM156</t>
  </si>
  <si>
    <t>Huỳnh Thị Tuyết Trinh</t>
  </si>
  <si>
    <t>Phường Bình Phú, Thành phố Hồ Chí Minh</t>
  </si>
  <si>
    <t>0017606/HCM-CCHN</t>
  </si>
  <si>
    <t>huynhthituyettrinh</t>
  </si>
  <si>
    <t>079183028825</t>
  </si>
  <si>
    <t>VM112</t>
  </si>
  <si>
    <t>Phường Phú Lâm, Thành phố Hồ Chí Minh</t>
  </si>
  <si>
    <t>Điều dưỡng viên</t>
  </si>
  <si>
    <t>007819/HCM-GPHN</t>
  </si>
  <si>
    <t>nguyenthihong</t>
  </si>
  <si>
    <t>026195000524</t>
  </si>
  <si>
    <t>VM143</t>
  </si>
  <si>
    <t>Tô Ngọc Bích</t>
  </si>
  <si>
    <t>Xã Bình Hưng, Thành phố Hồ Chí Minh</t>
  </si>
  <si>
    <t>Điều dưỡng khoa Ngoại</t>
  </si>
  <si>
    <t>0026901/BYT-CCHN</t>
  </si>
  <si>
    <t>Bộ Y tế</t>
  </si>
  <si>
    <t>tongocbich</t>
  </si>
  <si>
    <t>079192016135</t>
  </si>
  <si>
    <t>VM198</t>
  </si>
  <si>
    <t>Phạm Hải Ngọc</t>
  </si>
  <si>
    <t>Xã Châu Thành, Tỉnh An Giang</t>
  </si>
  <si>
    <t>001161/AG-GPHN</t>
  </si>
  <si>
    <t>phamhaingoc</t>
  </si>
  <si>
    <t>091303011757</t>
  </si>
  <si>
    <t>VM211</t>
  </si>
  <si>
    <t>Trịnh Thị Bích Phượng</t>
  </si>
  <si>
    <t>053964/HCM-CCHN</t>
  </si>
  <si>
    <t>trinhthibichphuong</t>
  </si>
  <si>
    <t>079199016557</t>
  </si>
  <si>
    <t>VM212</t>
  </si>
  <si>
    <t>Dương Thị Huỳnh Hoa</t>
  </si>
  <si>
    <t>Xã Mỹ Thạnh, Tỉnh Tây Ninh</t>
  </si>
  <si>
    <t>049683/BYT-CCHN</t>
  </si>
  <si>
    <t>duongthihuynhhoa</t>
  </si>
  <si>
    <t>080198006592</t>
  </si>
  <si>
    <t>VM243</t>
  </si>
  <si>
    <t>Võ Thị Thu Trang</t>
  </si>
  <si>
    <t>Xã Ninh Sơn, Tỉnh Khánh Hòa</t>
  </si>
  <si>
    <t>013144/HCM-GPHN</t>
  </si>
  <si>
    <t>vothithutrang</t>
  </si>
  <si>
    <t>058301005133</t>
  </si>
  <si>
    <t>VM249</t>
  </si>
  <si>
    <t>Phan Thị Mỹ Hảo</t>
  </si>
  <si>
    <t>040885/HCM-CCHN</t>
  </si>
  <si>
    <t>phanthimyhao</t>
  </si>
  <si>
    <t>066194008741</t>
  </si>
  <si>
    <t>VM072</t>
  </si>
  <si>
    <t>Nguyễn Quốc Anh</t>
  </si>
  <si>
    <t>Trung tâm IVF-Khoa sản</t>
  </si>
  <si>
    <t>011399/HCM-CCHN</t>
  </si>
  <si>
    <t>nguyenquocanh</t>
  </si>
  <si>
    <t>ThS. BS. Nguyễn Quốc Anh</t>
  </si>
  <si>
    <t>079083012191</t>
  </si>
  <si>
    <t>VM073</t>
  </si>
  <si>
    <t>Ngô Thị Tuyết Nhi</t>
  </si>
  <si>
    <t>Xã An Lục Long, Tỉnh Tây Ninh</t>
  </si>
  <si>
    <t>002482/HCM-GPHN</t>
  </si>
  <si>
    <t>ngothituyetnhi</t>
  </si>
  <si>
    <t>BS. Ngô Thị Tuyết Nhi</t>
  </si>
  <si>
    <t>080198012203</t>
  </si>
  <si>
    <t>VM105</t>
  </si>
  <si>
    <t>Xã Vĩnh Thuận, Thành phố Hải Phòng</t>
  </si>
  <si>
    <t>004319/HCM-GPHN</t>
  </si>
  <si>
    <t>tranquangvinh</t>
  </si>
  <si>
    <t>BS. Trần Quang Vinh</t>
  </si>
  <si>
    <t>031092003654</t>
  </si>
  <si>
    <t>VM131</t>
  </si>
  <si>
    <t>Hoàng Thị Thu Ngân</t>
  </si>
  <si>
    <t>009369/HCM-CCHN</t>
  </si>
  <si>
    <t>hoangthithungan</t>
  </si>
  <si>
    <t>BS. Hoàng Thị Thu Ngân</t>
  </si>
  <si>
    <t>079175017600</t>
  </si>
  <si>
    <t>VM074</t>
  </si>
  <si>
    <t>Đào Thanh Hương</t>
  </si>
  <si>
    <t>048502/HCM-CCHN</t>
  </si>
  <si>
    <t>daothanhhuong</t>
  </si>
  <si>
    <t>ThS. BS. Đào Thanh Hương</t>
  </si>
  <si>
    <t>058192006845</t>
  </si>
  <si>
    <t>VM110</t>
  </si>
  <si>
    <t>Lê Minh Huy</t>
  </si>
  <si>
    <t>Xã An Hữu, Tỉnh Đồng Tháp</t>
  </si>
  <si>
    <t>046896/HCM-CCHN</t>
  </si>
  <si>
    <t>leminhhuy</t>
  </si>
  <si>
    <t>082093006661</t>
  </si>
  <si>
    <t>VM114</t>
  </si>
  <si>
    <t>Nguyễn Thị Thúy Oanh</t>
  </si>
  <si>
    <t>Xã Mỹ Hạnh, Tỉnh Tây Ninh</t>
  </si>
  <si>
    <t>011053/HCM-CCHN</t>
  </si>
  <si>
    <t>nguyenthithuyoanh</t>
  </si>
  <si>
    <t>091190011206</t>
  </si>
  <si>
    <t>VM098</t>
  </si>
  <si>
    <t>Nguyễn Trần Thị Diễm Thúy</t>
  </si>
  <si>
    <t>Xã Tân An Hội, Thành phố Hồ Chí Minh</t>
  </si>
  <si>
    <t>Nữ Hộ Sinh</t>
  </si>
  <si>
    <t>032540/HCM-CCHN</t>
  </si>
  <si>
    <t>nguyentranthidiemthuy</t>
  </si>
  <si>
    <t>079190024314</t>
  </si>
  <si>
    <t>VM226</t>
  </si>
  <si>
    <t>Phan Văn Thị Nhất Liên</t>
  </si>
  <si>
    <t>Xã Quảng Điền, Thành phố Huế</t>
  </si>
  <si>
    <t>000649/TTH-GPHN</t>
  </si>
  <si>
    <t>phanvanthinhatlien</t>
  </si>
  <si>
    <t>046302011560</t>
  </si>
  <si>
    <t>VM246</t>
  </si>
  <si>
    <t>Nguyễn Ngọc Hiếu</t>
  </si>
  <si>
    <t>Phường Phú Thạnh, Thành phố Hồ Chí Minh</t>
  </si>
  <si>
    <t>051106/HCM-CCHN</t>
  </si>
  <si>
    <t>nguyenngochieu</t>
  </si>
  <si>
    <t>079195021143</t>
  </si>
  <si>
    <t>VM259</t>
  </si>
  <si>
    <t>Nguyễn Thuý An</t>
  </si>
  <si>
    <t>Xã Thanh Bình, Tỉnh Đồng Tháp</t>
  </si>
  <si>
    <t>049819/HCM-CCHN</t>
  </si>
  <si>
    <t>nguyenthuyan</t>
  </si>
  <si>
    <t>Nguyễn Thúy An</t>
  </si>
  <si>
    <t>087194002507</t>
  </si>
  <si>
    <t>VM137</t>
  </si>
  <si>
    <t>Nguyễn Thiện Thực</t>
  </si>
  <si>
    <t>Phường Hòa Bình, Thành phố Hồ Chí Minh</t>
  </si>
  <si>
    <t>Phòng Lab</t>
  </si>
  <si>
    <t>Trưởng Lab</t>
  </si>
  <si>
    <t>0021540/HCM-CCHN</t>
  </si>
  <si>
    <t>nguyenthienthuc</t>
  </si>
  <si>
    <t>ThS. Nguyễn Thiện Thực</t>
  </si>
  <si>
    <t>079068002037</t>
  </si>
  <si>
    <t>VM044</t>
  </si>
  <si>
    <t>Dương Ngọc Linh</t>
  </si>
  <si>
    <t>Phường Rạch Giá, Tỉnh An Giang</t>
  </si>
  <si>
    <t>Kỹ thuật viên LAB</t>
  </si>
  <si>
    <t>duongngoclinh</t>
  </si>
  <si>
    <t>CN. Dương Ngọc Linh</t>
  </si>
  <si>
    <t>091300014249</t>
  </si>
  <si>
    <t>VM075</t>
  </si>
  <si>
    <t>Trần Ngọc Sang</t>
  </si>
  <si>
    <t>Xã Xuân Thới Sơn, Thành phố Hồ Chí Minh</t>
  </si>
  <si>
    <t>tranngocsang</t>
  </si>
  <si>
    <t>ThS. Trần Ngọc Sang</t>
  </si>
  <si>
    <t>079199002136</t>
  </si>
  <si>
    <t>VM076</t>
  </si>
  <si>
    <t>Huỳnh Tú Anh</t>
  </si>
  <si>
    <t>Phường Chợ Lớn, Thành phố Hồ Chí Minh</t>
  </si>
  <si>
    <t>huynhtuanh</t>
  </si>
  <si>
    <t>CN. Huỳnh Tú Anh</t>
  </si>
  <si>
    <t>079300040880</t>
  </si>
  <si>
    <t>VM218</t>
  </si>
  <si>
    <t>Mai Vương Hùng</t>
  </si>
  <si>
    <t xml:space="preserve">Chuyên viên phôi học </t>
  </si>
  <si>
    <t>maivuonghung</t>
  </si>
  <si>
    <t>Ths. Mai Vương Hùng</t>
  </si>
  <si>
    <t>079090022582</t>
  </si>
  <si>
    <t>VM250</t>
  </si>
  <si>
    <t>Phan Thị Mỹ Long</t>
  </si>
  <si>
    <t>Xã Al Bá, Tỉnh Gia Lai</t>
  </si>
  <si>
    <t>phanthimylong</t>
  </si>
  <si>
    <t>064300011640</t>
  </si>
  <si>
    <t>VM070</t>
  </si>
  <si>
    <t>Võ Văn Hải</t>
  </si>
  <si>
    <t>Xã An Long, Tỉnh Đồng Tháp</t>
  </si>
  <si>
    <t>0031162/HCM-CCHN</t>
  </si>
  <si>
    <t>vovanhai</t>
  </si>
  <si>
    <t>087069013767</t>
  </si>
  <si>
    <t>VM091</t>
  </si>
  <si>
    <t>Trần Đông Phương</t>
  </si>
  <si>
    <t>Xã Hưng Nhượng, Tỉnh Vĩnh Long</t>
  </si>
  <si>
    <t>Điều dưỡng nội soi</t>
  </si>
  <si>
    <t>0029558/HCM-CCHN</t>
  </si>
  <si>
    <t>trandongphuong</t>
  </si>
  <si>
    <t>083090015123</t>
  </si>
  <si>
    <t>VM096</t>
  </si>
  <si>
    <t>Trần Thị Thanh Phương</t>
  </si>
  <si>
    <t>Phường Hòa Lợi, Thành phố Hồ Chí Minh</t>
  </si>
  <si>
    <t>Cao đẳng</t>
  </si>
  <si>
    <t>007512/LA-CCHN</t>
  </si>
  <si>
    <t>tranthithanhphuong</t>
  </si>
  <si>
    <t>091300001935</t>
  </si>
  <si>
    <t>VM065</t>
  </si>
  <si>
    <t>Phường Thạnh Mỹ Tây, Thành phố Hồ Chí Minh</t>
  </si>
  <si>
    <t>Trưởng khoa Gây mê hồi sức</t>
  </si>
  <si>
    <t>007493/HCM-CCHN</t>
  </si>
  <si>
    <t>vothithuytrang</t>
  </si>
  <si>
    <t>052172036675</t>
  </si>
  <si>
    <t>VM185</t>
  </si>
  <si>
    <t>Nguyễn Quang Nhật</t>
  </si>
  <si>
    <t>Phường Bình Trưng, Thành phố Hồ Chí Minh</t>
  </si>
  <si>
    <t xml:space="preserve">Bác sĩ </t>
  </si>
  <si>
    <t>005412/HCM-GPHN</t>
  </si>
  <si>
    <t>nguyenquangnhat</t>
  </si>
  <si>
    <t>Ths.BS.Nguyễn Quang Nhật</t>
  </si>
  <si>
    <t>066096005451</t>
  </si>
  <si>
    <t>VM169</t>
  </si>
  <si>
    <t>Đoàn Thị Kim Loan</t>
  </si>
  <si>
    <t>12/06/1959</t>
  </si>
  <si>
    <t>Điều dưỡng Trưởng phòng mổ</t>
  </si>
  <si>
    <t>005371/HCM-CCHN</t>
  </si>
  <si>
    <t>14/12/2012</t>
  </si>
  <si>
    <t>doanthikimloan</t>
  </si>
  <si>
    <t>080159011538</t>
  </si>
  <si>
    <t>10/08/2021</t>
  </si>
  <si>
    <t>VM087</t>
  </si>
  <si>
    <t>Phan Anh Khánh</t>
  </si>
  <si>
    <t>Xã Tam Xuân, Thành phố Đà Nẵng</t>
  </si>
  <si>
    <t>Điều dưỡng gây mê</t>
  </si>
  <si>
    <t>000317/TNI-GPHN</t>
  </si>
  <si>
    <t>phananhkhanh</t>
  </si>
  <si>
    <t>CN. GMHS Phan Anh Khánh</t>
  </si>
  <si>
    <t>049200005425</t>
  </si>
  <si>
    <t>VM126</t>
  </si>
  <si>
    <t>Nông Thị Diệu</t>
  </si>
  <si>
    <t>Xã Nam Hòa, Tỉnh Thái Nguyên</t>
  </si>
  <si>
    <t>007509/TNG-CCHN</t>
  </si>
  <si>
    <t>nongthidieu</t>
  </si>
  <si>
    <t>019188010394</t>
  </si>
  <si>
    <t>VM146</t>
  </si>
  <si>
    <t>Lê Hoàng Sơn</t>
  </si>
  <si>
    <t>001168/HCM-GPHN</t>
  </si>
  <si>
    <t>lehoangson</t>
  </si>
  <si>
    <t>079200025930</t>
  </si>
  <si>
    <t>VM182</t>
  </si>
  <si>
    <t>Lê Thị Ninh</t>
  </si>
  <si>
    <t>057769/HCM-CCHN</t>
  </si>
  <si>
    <t>lethininh</t>
  </si>
  <si>
    <t>038198031227</t>
  </si>
  <si>
    <t>VM195</t>
  </si>
  <si>
    <t>Nguyễn Thị Thúy Kiều</t>
  </si>
  <si>
    <t>Xã Ea Drăng, Tỉnh Đắk Lắk</t>
  </si>
  <si>
    <t>Điều dưỡng dụng cụ</t>
  </si>
  <si>
    <t>010887/HCM-GPHN</t>
  </si>
  <si>
    <t>nguyenthithuykieu</t>
  </si>
  <si>
    <t>Nguyễn Thị Thủy Kiều</t>
  </si>
  <si>
    <t>066302013903</t>
  </si>
  <si>
    <t>VM194</t>
  </si>
  <si>
    <t>058388/HCM-CCHN</t>
  </si>
  <si>
    <t>nguyenthiphuong</t>
  </si>
  <si>
    <t>042196007314</t>
  </si>
  <si>
    <t>VM205</t>
  </si>
  <si>
    <t>Lâm Hải Phụng</t>
  </si>
  <si>
    <t>QY110221/GPHN-BQP</t>
  </si>
  <si>
    <t>lamhaiphung</t>
  </si>
  <si>
    <t>079197037978</t>
  </si>
  <si>
    <t>VM248</t>
  </si>
  <si>
    <t>Trương Thị Khánh Dư</t>
  </si>
  <si>
    <t>Xã Bình Lợi, Thành phố Hồ Chí Minh</t>
  </si>
  <si>
    <t>013167/HCM-GPHN</t>
  </si>
  <si>
    <t>truongthikhanhdu</t>
  </si>
  <si>
    <t>084302000147</t>
  </si>
  <si>
    <t>VM236</t>
  </si>
  <si>
    <t>Võ Thị Anh Thy</t>
  </si>
  <si>
    <t>Xã Lộc Thuận, Tỉnh Vĩnh Long</t>
  </si>
  <si>
    <t>014804/HCM-GPHN</t>
  </si>
  <si>
    <t>vothianhthy</t>
  </si>
  <si>
    <t>083303000693</t>
  </si>
  <si>
    <t>VM237</t>
  </si>
  <si>
    <t xml:space="preserve">Hoàng Trần Anh Thư </t>
  </si>
  <si>
    <t>Xã Trà Tân, Tỉnh Lâm Đồng</t>
  </si>
  <si>
    <t>014796/HCM-GPHN</t>
  </si>
  <si>
    <t>hoangtrananhthu</t>
  </si>
  <si>
    <t>Hoàng Trần Anh Thư</t>
  </si>
  <si>
    <t>060303004806</t>
  </si>
  <si>
    <t>VM247</t>
  </si>
  <si>
    <t>Nguyễn Thị Tú Quỳnh</t>
  </si>
  <si>
    <t>Thư ký y khoa</t>
  </si>
  <si>
    <t>nguyenthituquynh</t>
  </si>
  <si>
    <t>079181036661</t>
  </si>
  <si>
    <t>VM220</t>
  </si>
  <si>
    <t>Ngô Tuấn Minh</t>
  </si>
  <si>
    <t>Phường Phú Xuân, Thành phố Huế</t>
  </si>
  <si>
    <t>Bác sĩ Chẩn đoán hình ảnh</t>
  </si>
  <si>
    <t>047354/BYT-CCHN</t>
  </si>
  <si>
    <t>ngotuanminh</t>
  </si>
  <si>
    <t>BS. CKI. Ngô Tuấn Minh</t>
  </si>
  <si>
    <t>045094008668</t>
  </si>
  <si>
    <t>VM238</t>
  </si>
  <si>
    <t>Trương Thị Ngọc Nga</t>
  </si>
  <si>
    <t>Phường Buôn Hồ, Tỉnh Đắk Lắk</t>
  </si>
  <si>
    <t>000453/HCM-GPHN</t>
  </si>
  <si>
    <t>truongthingocnga</t>
  </si>
  <si>
    <t>ThS. BS. Trương Thị Ngọc Nga</t>
  </si>
  <si>
    <t>066196010528</t>
  </si>
  <si>
    <t>VM206</t>
  </si>
  <si>
    <t>Nguyễn Châu Thị Long Phụng</t>
  </si>
  <si>
    <t>Phường Tam Hiệp, Tỉnh Đồng Nai</t>
  </si>
  <si>
    <t>002002/ĐNAI-GPHN</t>
  </si>
  <si>
    <t>nguyenchauthilongphung</t>
  </si>
  <si>
    <t>075302017942</t>
  </si>
  <si>
    <t>VM107</t>
  </si>
  <si>
    <t>Lâm Nguyễn Lân</t>
  </si>
  <si>
    <t>Xã Bình Sơn, Tỉnh An Giang</t>
  </si>
  <si>
    <t>Cử nhân</t>
  </si>
  <si>
    <t>001717/BYT-GPHN</t>
  </si>
  <si>
    <t>lamnguyenlan</t>
  </si>
  <si>
    <t>091201007889</t>
  </si>
  <si>
    <t>VM079</t>
  </si>
  <si>
    <t>Nguyễn Thái Hoàng</t>
  </si>
  <si>
    <t>Xã Vĩnh Hoàng, Tỉnh Quảng Trị</t>
  </si>
  <si>
    <t>Kỹ thuật viên trưởng chẩn đoán hình ảnh</t>
  </si>
  <si>
    <t>003409/QT-CCHN</t>
  </si>
  <si>
    <t>nguyenthaihoang</t>
  </si>
  <si>
    <t>KTV Nguyễn Thái Hoàng</t>
  </si>
  <si>
    <t>045093005939</t>
  </si>
  <si>
    <t>VM164</t>
  </si>
  <si>
    <t>Nguyễn Thu Thùy</t>
  </si>
  <si>
    <t>nguyenthuthuy</t>
  </si>
  <si>
    <t>Nguyễn Thu Thủy</t>
  </si>
  <si>
    <t>079195008069</t>
  </si>
  <si>
    <t>VM080</t>
  </si>
  <si>
    <t>Lê Thị Thôi</t>
  </si>
  <si>
    <t>Khoa Xét nghiệm</t>
  </si>
  <si>
    <t xml:space="preserve">Trưởng khoa Xét nghiệm </t>
  </si>
  <si>
    <t>0035548/HCM-CCHN</t>
  </si>
  <si>
    <t>lethithoi</t>
  </si>
  <si>
    <t>Ths.CKI. Lê Thị Thôi</t>
  </si>
  <si>
    <t>077191000542</t>
  </si>
  <si>
    <t>VM081</t>
  </si>
  <si>
    <t>Huỳnh Phương Anh</t>
  </si>
  <si>
    <t>Kỹ thuật viên Xét nghiệm</t>
  </si>
  <si>
    <t>008685/HCM-GPHN</t>
  </si>
  <si>
    <t>huynhphuonganh</t>
  </si>
  <si>
    <t>CN. Huỳnh Phương Anh</t>
  </si>
  <si>
    <t>079099011502</t>
  </si>
  <si>
    <t>VM082</t>
  </si>
  <si>
    <t>Lại Hưng Thịnh</t>
  </si>
  <si>
    <t>009696/HCM-GPHN</t>
  </si>
  <si>
    <t>laihungthinh</t>
  </si>
  <si>
    <t>CN. Lại Hưng Thịnh</t>
  </si>
  <si>
    <t>079201002420</t>
  </si>
  <si>
    <t>VM145</t>
  </si>
  <si>
    <t>Lê Thị Hoài Diễm</t>
  </si>
  <si>
    <t>Phường Trà Câu, Tỉnh Quảng Ngãi</t>
  </si>
  <si>
    <t>002098/ĐNAI-GPHN</t>
  </si>
  <si>
    <t>lethihoaidiem</t>
  </si>
  <si>
    <t>CN. Lê Thị Hoài Diễm</t>
  </si>
  <si>
    <t>051197008800</t>
  </si>
  <si>
    <t>VM163</t>
  </si>
  <si>
    <t>23/12/1985</t>
  </si>
  <si>
    <t>Xã Đồng Khởi, Tỉnh Vĩnh Long</t>
  </si>
  <si>
    <t>004201/HCM-GPHN</t>
  </si>
  <si>
    <t>nguyenthithuhien</t>
  </si>
  <si>
    <t>CN. Nguyễn Thị Thu Hiền</t>
  </si>
  <si>
    <t>049185005725</t>
  </si>
  <si>
    <t>26/12/2025</t>
  </si>
  <si>
    <t>VM083</t>
  </si>
  <si>
    <t>Phạm Thị Loan</t>
  </si>
  <si>
    <t>Điều dưỡng Trưởng</t>
  </si>
  <si>
    <t>007042/HCM-CCHN</t>
  </si>
  <si>
    <t>phamthiloan</t>
  </si>
  <si>
    <t>079173021657</t>
  </si>
  <si>
    <t>VM100</t>
  </si>
  <si>
    <t>Trần Thị Cẩm Hồng</t>
  </si>
  <si>
    <t>Trưởng khoa dược</t>
  </si>
  <si>
    <t>5034/CCHN-D-SYT-HCM</t>
  </si>
  <si>
    <t>tranthicamhong</t>
  </si>
  <si>
    <t>083177000534</t>
  </si>
  <si>
    <t>VM102</t>
  </si>
  <si>
    <t>Phan Ngọc Kim Thúy</t>
  </si>
  <si>
    <t>18512/CCHN-D-SYT-HCM</t>
  </si>
  <si>
    <t>phanngockimthuy</t>
  </si>
  <si>
    <t>079199015925</t>
  </si>
  <si>
    <t>VM127</t>
  </si>
  <si>
    <t>Thiệu Thanh Thảo</t>
  </si>
  <si>
    <t>0101.25/CCHN-D-SYT-VL</t>
  </si>
  <si>
    <t>thieuthanhthao</t>
  </si>
  <si>
    <t>083190017607</t>
  </si>
  <si>
    <t>VM128</t>
  </si>
  <si>
    <t>Võ Quốc Doãn</t>
  </si>
  <si>
    <t>Phường Phú Thọ, Thành phố Hồ Chí Minh</t>
  </si>
  <si>
    <t>15419/CCHN-D-SYT-HCM</t>
  </si>
  <si>
    <t>voquocdoan</t>
  </si>
  <si>
    <t>052075000187</t>
  </si>
  <si>
    <t>VM179</t>
  </si>
  <si>
    <t>Lương Huỳnh Quốc bảo</t>
  </si>
  <si>
    <t>Nhân viên kho Dược</t>
  </si>
  <si>
    <t>8737/CCHN-D-SYT-HCM</t>
  </si>
  <si>
    <t>luonghuynhquocbao</t>
  </si>
  <si>
    <t>Lương Huỳnh Quốc Bảo</t>
  </si>
  <si>
    <t>080095000044</t>
  </si>
  <si>
    <t>VM235</t>
  </si>
  <si>
    <t>Đỗ Thành Đông</t>
  </si>
  <si>
    <t>Phường Long Trường, Thành phố Hồ Chí Minh</t>
  </si>
  <si>
    <t>6746/CHHN-D-SYT-BD</t>
  </si>
  <si>
    <t>dothanhdong</t>
  </si>
  <si>
    <t>033091001313</t>
  </si>
  <si>
    <t>VM173</t>
  </si>
  <si>
    <t>Võ Ngọc Lan</t>
  </si>
  <si>
    <t>Nhân viên Khoa dược</t>
  </si>
  <si>
    <t>vongoclan</t>
  </si>
  <si>
    <t>079181014660</t>
  </si>
  <si>
    <t>Khoa Phẫu thuật - Gây mê hồi sức</t>
  </si>
  <si>
    <t>Khoa Chẩn đoán hình ảnh; Khoa Thăm dò chức năng</t>
  </si>
  <si>
    <t>Thạc sĩ</t>
  </si>
  <si>
    <t>Chuyên khoa 1</t>
  </si>
  <si>
    <t>Chuyên khoa 2</t>
  </si>
  <si>
    <t>Trung học</t>
  </si>
  <si>
    <t>Trung cấp</t>
  </si>
  <si>
    <t>Đại học</t>
  </si>
  <si>
    <t>Sở y tế Thành phố Hồ Chí Minh</t>
  </si>
  <si>
    <t>Sở y tế Thành phố Đà Nẵng</t>
  </si>
  <si>
    <t>Sở y tế Tỉnh Bến Tre</t>
  </si>
  <si>
    <t>Sở y tế Tỉnh Long An</t>
  </si>
  <si>
    <t>Sở y tế Tỉnh Đắk Nông</t>
  </si>
  <si>
    <t>Sở y tế Tỉnh Gia Lai</t>
  </si>
  <si>
    <t>Sở y tế Tỉnh An Giang</t>
  </si>
  <si>
    <t>Sở y tế Tỉnh Tây Ninh</t>
  </si>
  <si>
    <t>Sở y tế Tỉnh Thái Nguyên</t>
  </si>
  <si>
    <t>Sở y tế Tỉnh Đồng Nai</t>
  </si>
  <si>
    <t>Sở y tế Tỉnh Quảng Trị</t>
  </si>
  <si>
    <t>Sở y tế Tỉnh Vĩnh Long</t>
  </si>
  <si>
    <t>Sở y tế Tỉnh Bình Dương</t>
  </si>
  <si>
    <t>Sở y tế Tỉnh Thừa Thiên Huế</t>
  </si>
  <si>
    <t>Xã Cư M’ta, Tỉnh Đắk Lắk</t>
  </si>
  <si>
    <t>Khoa Chẩn đoán hình ảnh</t>
  </si>
  <si>
    <t>Phường Cầu Ông Lãnh, Thành phố Hồ Chí Minh</t>
  </si>
  <si>
    <t>Nhân viên Biên tập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</si>
</sst>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mm/dd/yyyy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b/>
      <sz val="14"/>
      <color theme="1"/>
      <name val="Times New Roman"/>
      <family val="1"/>
    </font>
    <font>
      <b/>
      <sz val="14"/>
      <color rgb="FF000000"/>
      <name val="&quot;Times New Roman&quot;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081B3A"/>
      <name val="Times New Roman"/>
      <family val="1"/>
    </font>
    <font>
      <sz val="14"/>
      <color rgb="FF000000"/>
      <name val="&quot;Times New Roman&quot;"/>
    </font>
    <font>
      <sz val="14"/>
      <color rgb="FF000000"/>
      <name val="Calibri"/>
      <family val="2"/>
    </font>
    <font>
      <sz val="14"/>
      <name val="Times New Roman"/>
      <family val="1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7DEE8"/>
        <bgColor rgb="FFB7DEE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165" fontId="6" fillId="0" borderId="1" xfId="0" applyNumberFormat="1" applyFont="1" applyBorder="1" applyAlignment="1">
      <alignment horizontal="center"/>
    </xf>
    <xf numFmtId="0" fontId="6" fillId="5" borderId="1" xfId="0" applyFont="1" applyFill="1" applyBorder="1" applyAlignment="1"/>
    <xf numFmtId="0" fontId="6" fillId="5" borderId="1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left" vertical="center" wrapText="1" shrinkToFit="1"/>
    </xf>
    <xf numFmtId="0" fontId="7" fillId="0" borderId="0" xfId="0" applyFont="1" applyFill="1"/>
    <xf numFmtId="0" fontId="5" fillId="0" borderId="1" xfId="0" applyFont="1" applyFill="1" applyBorder="1"/>
    <xf numFmtId="49" fontId="8" fillId="0" borderId="4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0" xfId="0" applyFont="1" applyFill="1"/>
    <xf numFmtId="49" fontId="8" fillId="5" borderId="4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/>
    <xf numFmtId="0" fontId="5" fillId="5" borderId="1" xfId="0" applyFont="1" applyFill="1" applyBorder="1" applyAlignment="1">
      <alignment horizontal="center"/>
    </xf>
    <xf numFmtId="0" fontId="9" fillId="0" borderId="4" xfId="0" applyFont="1" applyBorder="1" applyAlignment="1"/>
    <xf numFmtId="0" fontId="8" fillId="5" borderId="4" xfId="0" applyFont="1" applyFill="1" applyBorder="1" applyAlignment="1">
      <alignment horizontal="center"/>
    </xf>
    <xf numFmtId="0" fontId="9" fillId="5" borderId="4" xfId="0" applyFont="1" applyFill="1" applyBorder="1" applyAlignment="1"/>
    <xf numFmtId="0" fontId="5" fillId="0" borderId="0" xfId="0" applyFont="1"/>
    <xf numFmtId="0" fontId="5" fillId="0" borderId="0" xfId="1" applyFont="1" applyFill="1" applyBorder="1"/>
    <xf numFmtId="164" fontId="10" fillId="0" borderId="0" xfId="0" applyNumberFormat="1" applyFont="1" applyFill="1" applyBorder="1" applyAlignment="1">
      <alignment horizontal="right"/>
    </xf>
    <xf numFmtId="0" fontId="5" fillId="0" borderId="0" xfId="0" applyFont="1" applyFill="1" applyBorder="1"/>
    <xf numFmtId="0" fontId="5" fillId="0" borderId="0" xfId="0" applyFont="1" applyFill="1" applyBorder="1" applyAlignment="1">
      <alignment wrapText="1"/>
    </xf>
    <xf numFmtId="164" fontId="5" fillId="0" borderId="0" xfId="0" applyNumberFormat="1" applyFont="1" applyFill="1" applyBorder="1"/>
    <xf numFmtId="0" fontId="5" fillId="0" borderId="0" xfId="2" applyFont="1" applyFill="1" applyBorder="1"/>
    <xf numFmtId="0" fontId="11" fillId="0" borderId="0" xfId="0" applyFont="1" applyAlignment="1"/>
    <xf numFmtId="0" fontId="5" fillId="0" borderId="0" xfId="0" applyFont="1" applyFill="1" applyAlignment="1">
      <alignment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ts.bs/" TargetMode="External"/><Relationship Id="rId2" Type="http://schemas.openxmlformats.org/officeDocument/2006/relationships/hyperlink" Target="http://ts.bs/" TargetMode="External"/><Relationship Id="rId1" Type="http://schemas.openxmlformats.org/officeDocument/2006/relationships/hyperlink" Target="http://ts.bs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ts.bs/" TargetMode="External"/><Relationship Id="rId4" Type="http://schemas.openxmlformats.org/officeDocument/2006/relationships/hyperlink" Target="http://ts.b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580"/>
  <sheetViews>
    <sheetView tabSelected="1" topLeftCell="B65" zoomScale="70" zoomScaleNormal="70" workbookViewId="0">
      <selection activeCell="G77" sqref="G77"/>
    </sheetView>
  </sheetViews>
  <sheetFormatPr defaultColWidth="9.125" defaultRowHeight="18" customHeight="1"/>
  <cols>
    <col min="1" max="1" width="17.375" style="27" bestFit="1" customWidth="1"/>
    <col min="2" max="2" width="34.5" style="27" customWidth="1"/>
    <col min="3" max="3" width="42.125" style="28" customWidth="1"/>
    <col min="4" max="4" width="16.625" style="29" customWidth="1"/>
    <col min="5" max="5" width="72.5" style="30" customWidth="1"/>
    <col min="6" max="6" width="58.875" style="27" customWidth="1"/>
    <col min="7" max="7" width="63.625" style="27" customWidth="1"/>
    <col min="8" max="8" width="31.5" style="29" customWidth="1"/>
    <col min="9" max="9" width="58.875" style="29" customWidth="1"/>
    <col min="10" max="10" width="31.375" style="29" customWidth="1"/>
    <col min="11" max="11" width="18.5" style="31" customWidth="1"/>
    <col min="12" max="12" width="35.125" style="32" customWidth="1"/>
    <col min="13" max="13" width="85.375" style="29" customWidth="1"/>
    <col min="14" max="14" width="45.625" style="29" customWidth="1"/>
    <col min="15" max="15" width="25.5" style="27" customWidth="1"/>
    <col min="16" max="16" width="44.375" style="29" customWidth="1"/>
    <col min="17" max="17" width="41.375" style="33" customWidth="1"/>
    <col min="18" max="18" width="19.75" style="33" bestFit="1" customWidth="1"/>
    <col min="19" max="19" width="63.375" style="33" customWidth="1"/>
    <col min="20" max="20" width="158.25" style="29" customWidth="1"/>
    <col min="21" max="21" width="51" style="29" customWidth="1"/>
    <col min="22" max="16384" width="9.125" style="29"/>
  </cols>
  <sheetData>
    <row r="1" spans="1:21" s="7" customFormat="1" ht="18.75">
      <c r="A1" s="1" t="s">
        <v>0</v>
      </c>
      <c r="B1" s="1" t="s">
        <v>1</v>
      </c>
      <c r="C1" s="2" t="s">
        <v>18</v>
      </c>
      <c r="D1" s="1" t="s">
        <v>2</v>
      </c>
      <c r="E1" s="3" t="s">
        <v>3</v>
      </c>
      <c r="F1" s="1" t="s">
        <v>19</v>
      </c>
      <c r="G1" s="3" t="s">
        <v>4</v>
      </c>
      <c r="H1" s="3" t="s">
        <v>5</v>
      </c>
      <c r="I1" s="3" t="s">
        <v>6</v>
      </c>
      <c r="J1" s="1" t="s">
        <v>7</v>
      </c>
      <c r="K1" s="4" t="s">
        <v>8</v>
      </c>
      <c r="L1" s="4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5" t="s">
        <v>45</v>
      </c>
      <c r="R1" s="6" t="s">
        <v>46</v>
      </c>
      <c r="S1" s="6" t="s">
        <v>47</v>
      </c>
    </row>
    <row r="2" spans="1:21" s="19" customFormat="1" ht="93.75">
      <c r="A2" s="8" t="s">
        <v>50</v>
      </c>
      <c r="B2" s="9" t="s">
        <v>51</v>
      </c>
      <c r="C2" s="10">
        <v>26021</v>
      </c>
      <c r="D2" s="8" t="s">
        <v>14</v>
      </c>
      <c r="E2" s="9" t="s">
        <v>52</v>
      </c>
      <c r="F2" s="9" t="s">
        <v>53</v>
      </c>
      <c r="G2" s="11" t="s">
        <v>54</v>
      </c>
      <c r="H2" s="12" t="s">
        <v>54</v>
      </c>
      <c r="I2" s="11" t="s">
        <v>961</v>
      </c>
      <c r="J2" s="8"/>
      <c r="K2" s="13"/>
      <c r="L2" s="14"/>
      <c r="M2" s="9"/>
      <c r="N2" s="15" t="s">
        <v>55</v>
      </c>
      <c r="O2" s="8" t="s">
        <v>56</v>
      </c>
      <c r="P2" s="9" t="s">
        <v>51</v>
      </c>
      <c r="Q2" s="16" t="s">
        <v>57</v>
      </c>
      <c r="R2" s="17">
        <v>44768</v>
      </c>
      <c r="S2" s="18" t="s">
        <v>58</v>
      </c>
      <c r="T2" s="19" t="str">
        <f>" update person
  set  id_card_no = '"&amp;Q2&amp;"'
 where  id = (select employee.id from employee where employee_code='"&amp;A2&amp;"');"</f>
        <v xml:space="preserve"> update person
  set  id_card_no = '079071006788'
 where  id = (select employee.id from employee where employee_code='VM104');</v>
      </c>
      <c r="U2" s="34" t="str">
        <f>"update employee
  set  print_name_e = '"&amp;P2&amp;"',
       print_name_l = '"&amp;P2&amp;"'
 where   employee_code='"&amp;A2&amp;"';"</f>
        <v>update employee
  set  print_name_e = 'Nguyễn Ngọc Linh',
       print_name_l = 'Nguyễn Ngọc Linh'
 where   employee_code='VM104';</v>
      </c>
    </row>
    <row r="3" spans="1:21" s="19" customFormat="1" ht="18" customHeight="1">
      <c r="A3" s="8" t="s">
        <v>59</v>
      </c>
      <c r="B3" s="9" t="s">
        <v>60</v>
      </c>
      <c r="C3" s="10">
        <v>25166</v>
      </c>
      <c r="D3" s="8" t="s">
        <v>14</v>
      </c>
      <c r="E3" s="9" t="s">
        <v>61</v>
      </c>
      <c r="F3" s="9" t="s">
        <v>53</v>
      </c>
      <c r="G3" s="11" t="s">
        <v>62</v>
      </c>
      <c r="H3" s="12" t="s">
        <v>21</v>
      </c>
      <c r="I3" s="11" t="s">
        <v>63</v>
      </c>
      <c r="J3" s="8" t="s">
        <v>64</v>
      </c>
      <c r="K3" s="13">
        <v>41183</v>
      </c>
      <c r="L3" s="14" t="s">
        <v>1068</v>
      </c>
      <c r="M3" s="9"/>
      <c r="N3" s="15" t="s">
        <v>55</v>
      </c>
      <c r="O3" s="8" t="s">
        <v>65</v>
      </c>
      <c r="P3" s="9" t="s">
        <v>66</v>
      </c>
      <c r="Q3" s="16" t="s">
        <v>67</v>
      </c>
      <c r="R3" s="17">
        <v>44870</v>
      </c>
      <c r="S3" s="18" t="s">
        <v>58</v>
      </c>
      <c r="T3" s="19" t="str">
        <f t="shared" ref="T3:T19" si="0">" update person
  set  id_card_no = '"&amp;Q3&amp;"'
 where  id = (select employee.id from employee where employee_code='"&amp;A3&amp;"');"</f>
        <v xml:space="preserve"> update person
  set  id_card_no = '083068002728'
 where  id = (select employee.id from employee where employee_code='VM063');</v>
      </c>
      <c r="U3" s="34" t="str">
        <f t="shared" ref="U3:U66" si="1">"update employee
  set  print_name_e = '"&amp;P3&amp;"',
       print_name_l = '"&amp;P3&amp;"'
 where   employee_code='"&amp;A3&amp;"';"</f>
        <v>update employee
  set  print_name_e = 'BS. Nguyễn Tài Chánh',
       print_name_l = 'BS. Nguyễn Tài Chánh'
 where   employee_code='VM063';</v>
      </c>
    </row>
    <row r="4" spans="1:21" s="19" customFormat="1" ht="18" customHeight="1">
      <c r="A4" s="8" t="s">
        <v>68</v>
      </c>
      <c r="B4" s="9" t="s">
        <v>69</v>
      </c>
      <c r="C4" s="10">
        <v>28525</v>
      </c>
      <c r="D4" s="8" t="s">
        <v>16</v>
      </c>
      <c r="E4" s="9" t="s">
        <v>52</v>
      </c>
      <c r="F4" s="9" t="s">
        <v>53</v>
      </c>
      <c r="G4" s="11" t="s">
        <v>70</v>
      </c>
      <c r="H4" s="12" t="s">
        <v>70</v>
      </c>
      <c r="I4" s="11" t="s">
        <v>63</v>
      </c>
      <c r="J4" s="8" t="s">
        <v>71</v>
      </c>
      <c r="K4" s="13">
        <v>41939</v>
      </c>
      <c r="L4" s="14" t="s">
        <v>72</v>
      </c>
      <c r="M4" s="9"/>
      <c r="N4" s="15" t="s">
        <v>55</v>
      </c>
      <c r="O4" s="8" t="s">
        <v>73</v>
      </c>
      <c r="P4" s="9" t="s">
        <v>74</v>
      </c>
      <c r="Q4" s="16" t="s">
        <v>75</v>
      </c>
      <c r="R4" s="17">
        <v>44924</v>
      </c>
      <c r="S4" s="18" t="s">
        <v>58</v>
      </c>
      <c r="T4" s="19" t="str">
        <f t="shared" si="0"/>
        <v xml:space="preserve"> update person
  set  id_card_no = '079178032601'
 where  id = (select employee.id from employee where employee_code='VM153');</v>
      </c>
      <c r="U4" s="34" t="str">
        <f t="shared" si="1"/>
        <v>update employee
  set  print_name_e = 'BS. CKII. Lâm Hoàng Cát Tiên',
       print_name_l = 'BS. CKII. Lâm Hoàng Cát Tiên'
 where   employee_code='VM153';</v>
      </c>
    </row>
    <row r="5" spans="1:21" s="19" customFormat="1" ht="18" customHeight="1">
      <c r="A5" s="8" t="s">
        <v>76</v>
      </c>
      <c r="B5" s="9" t="s">
        <v>77</v>
      </c>
      <c r="C5" s="10">
        <v>31586</v>
      </c>
      <c r="D5" s="8" t="s">
        <v>14</v>
      </c>
      <c r="E5" s="9" t="s">
        <v>52</v>
      </c>
      <c r="F5" s="9" t="s">
        <v>53</v>
      </c>
      <c r="G5" s="11" t="s">
        <v>78</v>
      </c>
      <c r="H5" s="12" t="s">
        <v>79</v>
      </c>
      <c r="I5" s="11" t="s">
        <v>961</v>
      </c>
      <c r="J5" s="8"/>
      <c r="K5" s="13"/>
      <c r="L5" s="14"/>
      <c r="M5" s="9"/>
      <c r="N5" s="15" t="s">
        <v>55</v>
      </c>
      <c r="O5" s="8" t="s">
        <v>80</v>
      </c>
      <c r="P5" s="9" t="s">
        <v>77</v>
      </c>
      <c r="Q5" s="20" t="s">
        <v>81</v>
      </c>
      <c r="R5" s="17">
        <v>45188</v>
      </c>
      <c r="S5" s="18" t="s">
        <v>58</v>
      </c>
      <c r="T5" s="19" t="str">
        <f t="shared" si="0"/>
        <v xml:space="preserve"> update person
  set  id_card_no = '052086000013'
 where  id = (select employee.id from employee where employee_code='VM208');</v>
      </c>
      <c r="U5" s="34" t="str">
        <f t="shared" si="1"/>
        <v>update employee
  set  print_name_e = 'Lâm Đặng Thành Diệp',
       print_name_l = 'Lâm Đặng Thành Diệp'
 where   employee_code='VM208';</v>
      </c>
    </row>
    <row r="6" spans="1:21" s="19" customFormat="1" ht="18" customHeight="1">
      <c r="A6" s="8" t="s">
        <v>82</v>
      </c>
      <c r="B6" s="9" t="s">
        <v>83</v>
      </c>
      <c r="C6" s="10">
        <v>37544</v>
      </c>
      <c r="D6" s="8" t="s">
        <v>16</v>
      </c>
      <c r="E6" s="9" t="s">
        <v>84</v>
      </c>
      <c r="F6" s="9" t="s">
        <v>53</v>
      </c>
      <c r="G6" s="11" t="s">
        <v>85</v>
      </c>
      <c r="H6" s="12" t="s">
        <v>86</v>
      </c>
      <c r="I6" s="11" t="s">
        <v>63</v>
      </c>
      <c r="J6" s="9"/>
      <c r="K6" s="15"/>
      <c r="L6" s="21"/>
      <c r="M6" s="9"/>
      <c r="N6" s="15" t="s">
        <v>55</v>
      </c>
      <c r="O6" s="8" t="s">
        <v>87</v>
      </c>
      <c r="P6" s="9" t="s">
        <v>83</v>
      </c>
      <c r="Q6" s="16" t="s">
        <v>88</v>
      </c>
      <c r="R6" s="17">
        <v>44670</v>
      </c>
      <c r="S6" s="18" t="s">
        <v>58</v>
      </c>
      <c r="T6" s="19" t="str">
        <f t="shared" si="0"/>
        <v xml:space="preserve"> update person
  set  id_card_no = '082302002156'
 where  id = (select employee.id from employee where employee_code='VM232');</v>
      </c>
      <c r="U6" s="34" t="str">
        <f t="shared" si="1"/>
        <v>update employee
  set  print_name_e = 'Trương Minh Tuyết',
       print_name_l = 'Trương Minh Tuyết'
 where   employee_code='VM232';</v>
      </c>
    </row>
    <row r="7" spans="1:21" s="19" customFormat="1" ht="18" customHeight="1">
      <c r="A7" s="8" t="s">
        <v>89</v>
      </c>
      <c r="B7" s="9" t="s">
        <v>90</v>
      </c>
      <c r="C7" s="10">
        <v>38495</v>
      </c>
      <c r="D7" s="8" t="s">
        <v>16</v>
      </c>
      <c r="E7" s="9" t="s">
        <v>84</v>
      </c>
      <c r="F7" s="9" t="s">
        <v>91</v>
      </c>
      <c r="G7" s="11" t="s">
        <v>92</v>
      </c>
      <c r="H7" s="22" t="s">
        <v>15</v>
      </c>
      <c r="I7" s="11" t="s">
        <v>63</v>
      </c>
      <c r="J7" s="9"/>
      <c r="K7" s="15"/>
      <c r="L7" s="21"/>
      <c r="M7" s="9"/>
      <c r="N7" s="15" t="s">
        <v>55</v>
      </c>
      <c r="O7" s="8" t="s">
        <v>93</v>
      </c>
      <c r="P7" s="9" t="s">
        <v>94</v>
      </c>
      <c r="Q7" s="16" t="s">
        <v>95</v>
      </c>
      <c r="R7" s="17">
        <v>44329</v>
      </c>
      <c r="S7" s="18" t="s">
        <v>58</v>
      </c>
      <c r="T7" s="19" t="str">
        <f t="shared" si="0"/>
        <v xml:space="preserve"> update person
  set  id_card_no = '082305011404'
 where  id = (select employee.id from employee where employee_code='VM233');</v>
      </c>
      <c r="U7" s="34" t="str">
        <f t="shared" si="1"/>
        <v>update employee
  set  print_name_e = 'Lê Hoàng Phi Ngân',
       print_name_l = 'Lê Hoàng Phi Ngân'
 where   employee_code='VM233';</v>
      </c>
    </row>
    <row r="8" spans="1:21" s="19" customFormat="1" ht="18" customHeight="1">
      <c r="A8" s="8" t="s">
        <v>96</v>
      </c>
      <c r="B8" s="9" t="s">
        <v>97</v>
      </c>
      <c r="C8" s="10">
        <v>29504</v>
      </c>
      <c r="D8" s="8" t="s">
        <v>14</v>
      </c>
      <c r="E8" s="9" t="s">
        <v>98</v>
      </c>
      <c r="F8" s="9" t="s">
        <v>99</v>
      </c>
      <c r="G8" s="11" t="s">
        <v>100</v>
      </c>
      <c r="H8" s="22" t="s">
        <v>22</v>
      </c>
      <c r="I8" s="11" t="s">
        <v>63</v>
      </c>
      <c r="J8" s="9"/>
      <c r="K8" s="15"/>
      <c r="L8" s="21"/>
      <c r="M8" s="9"/>
      <c r="N8" s="15" t="s">
        <v>55</v>
      </c>
      <c r="O8" s="8" t="s">
        <v>101</v>
      </c>
      <c r="P8" s="9" t="s">
        <v>97</v>
      </c>
      <c r="Q8" s="16" t="s">
        <v>102</v>
      </c>
      <c r="R8" s="17">
        <v>45117</v>
      </c>
      <c r="S8" s="18" t="s">
        <v>58</v>
      </c>
      <c r="T8" s="19" t="str">
        <f t="shared" si="0"/>
        <v xml:space="preserve"> update person
  set  id_card_no = '051080000031'
 where  id = (select employee.id from employee where employee_code='VM001');</v>
      </c>
      <c r="U8" s="34" t="str">
        <f t="shared" si="1"/>
        <v>update employee
  set  print_name_e = 'Nguyễn Sỹ Hoàng',
       print_name_l = 'Nguyễn Sỹ Hoàng'
 where   employee_code='VM001';</v>
      </c>
    </row>
    <row r="9" spans="1:21" s="19" customFormat="1" ht="18" customHeight="1">
      <c r="A9" s="8" t="s">
        <v>103</v>
      </c>
      <c r="B9" s="9" t="s">
        <v>104</v>
      </c>
      <c r="C9" s="10">
        <v>31492</v>
      </c>
      <c r="D9" s="8" t="s">
        <v>16</v>
      </c>
      <c r="E9" s="9" t="s">
        <v>105</v>
      </c>
      <c r="F9" s="9" t="s">
        <v>99</v>
      </c>
      <c r="G9" s="11" t="s">
        <v>106</v>
      </c>
      <c r="H9" s="22" t="s">
        <v>15</v>
      </c>
      <c r="I9" s="11" t="s">
        <v>63</v>
      </c>
      <c r="J9" s="9"/>
      <c r="K9" s="15"/>
      <c r="L9" s="21"/>
      <c r="M9" s="9"/>
      <c r="N9" s="15" t="s">
        <v>55</v>
      </c>
      <c r="O9" s="8" t="s">
        <v>107</v>
      </c>
      <c r="P9" s="9" t="s">
        <v>104</v>
      </c>
      <c r="Q9" s="16" t="s">
        <v>108</v>
      </c>
      <c r="R9" s="17">
        <v>46041</v>
      </c>
      <c r="S9" s="18" t="s">
        <v>48</v>
      </c>
      <c r="T9" s="19" t="str">
        <f t="shared" si="0"/>
        <v xml:space="preserve"> update person
  set  id_card_no = '079186020756'
 where  id = (select employee.id from employee where employee_code='VM019');</v>
      </c>
      <c r="U9" s="34" t="str">
        <f t="shared" si="1"/>
        <v>update employee
  set  print_name_e = 'Trương Thanh Phương Thủy',
       print_name_l = 'Trương Thanh Phương Thủy'
 where   employee_code='VM019';</v>
      </c>
    </row>
    <row r="10" spans="1:21" s="19" customFormat="1" ht="18" customHeight="1">
      <c r="A10" s="8" t="s">
        <v>109</v>
      </c>
      <c r="B10" s="9" t="s">
        <v>39</v>
      </c>
      <c r="C10" s="10">
        <v>31265</v>
      </c>
      <c r="D10" s="8" t="s">
        <v>16</v>
      </c>
      <c r="E10" s="9" t="s">
        <v>110</v>
      </c>
      <c r="F10" s="9" t="s">
        <v>99</v>
      </c>
      <c r="G10" s="11" t="s">
        <v>111</v>
      </c>
      <c r="H10" s="22" t="s">
        <v>15</v>
      </c>
      <c r="I10" s="11" t="s">
        <v>63</v>
      </c>
      <c r="J10" s="9"/>
      <c r="K10" s="15"/>
      <c r="L10" s="21"/>
      <c r="M10" s="9"/>
      <c r="N10" s="15" t="s">
        <v>55</v>
      </c>
      <c r="O10" s="8" t="s">
        <v>112</v>
      </c>
      <c r="P10" s="9" t="s">
        <v>39</v>
      </c>
      <c r="Q10" s="16" t="s">
        <v>113</v>
      </c>
      <c r="R10" s="17">
        <v>45923</v>
      </c>
      <c r="S10" s="18" t="s">
        <v>48</v>
      </c>
      <c r="T10" s="19" t="str">
        <f t="shared" si="0"/>
        <v xml:space="preserve"> update person
  set  id_card_no = '036185026974'
 where  id = (select employee.id from employee where employee_code='VM157');</v>
      </c>
      <c r="U10" s="34" t="str">
        <f t="shared" si="1"/>
        <v>update employee
  set  print_name_e = 'Phạm Thị Giang',
       print_name_l = 'Phạm Thị Giang'
 where   employee_code='VM157';</v>
      </c>
    </row>
    <row r="11" spans="1:21" s="19" customFormat="1" ht="18" customHeight="1">
      <c r="A11" s="8" t="s">
        <v>114</v>
      </c>
      <c r="B11" s="9" t="s">
        <v>115</v>
      </c>
      <c r="C11" s="10">
        <v>31964</v>
      </c>
      <c r="D11" s="8" t="s">
        <v>16</v>
      </c>
      <c r="E11" s="9" t="s">
        <v>52</v>
      </c>
      <c r="F11" s="9" t="s">
        <v>99</v>
      </c>
      <c r="G11" s="11" t="s">
        <v>116</v>
      </c>
      <c r="H11" s="22" t="s">
        <v>15</v>
      </c>
      <c r="I11" s="11" t="s">
        <v>63</v>
      </c>
      <c r="J11" s="9"/>
      <c r="K11" s="15"/>
      <c r="L11" s="21"/>
      <c r="M11" s="9"/>
      <c r="N11" s="15" t="s">
        <v>55</v>
      </c>
      <c r="O11" s="8" t="s">
        <v>117</v>
      </c>
      <c r="P11" s="9" t="s">
        <v>115</v>
      </c>
      <c r="Q11" s="16" t="s">
        <v>118</v>
      </c>
      <c r="R11" s="17">
        <v>44311</v>
      </c>
      <c r="S11" s="23" t="s">
        <v>58</v>
      </c>
      <c r="T11" s="19" t="str">
        <f t="shared" si="0"/>
        <v xml:space="preserve"> update person
  set  id_card_no = '052187002601'
 where  id = (select employee.id from employee where employee_code='VM039');</v>
      </c>
      <c r="U11" s="34" t="str">
        <f t="shared" si="1"/>
        <v>update employee
  set  print_name_e = 'Hà Thị Ngọc Nhung',
       print_name_l = 'Hà Thị Ngọc Nhung'
 where   employee_code='VM039';</v>
      </c>
    </row>
    <row r="12" spans="1:21" s="19" customFormat="1" ht="18" customHeight="1">
      <c r="A12" s="8" t="s">
        <v>119</v>
      </c>
      <c r="B12" s="9" t="s">
        <v>120</v>
      </c>
      <c r="C12" s="10">
        <v>35097</v>
      </c>
      <c r="D12" s="8" t="s">
        <v>16</v>
      </c>
      <c r="E12" s="9" t="s">
        <v>121</v>
      </c>
      <c r="F12" s="9" t="s">
        <v>99</v>
      </c>
      <c r="G12" s="11" t="s">
        <v>116</v>
      </c>
      <c r="H12" s="22" t="s">
        <v>15</v>
      </c>
      <c r="I12" s="11" t="s">
        <v>63</v>
      </c>
      <c r="J12" s="9"/>
      <c r="K12" s="15"/>
      <c r="L12" s="21"/>
      <c r="M12" s="9"/>
      <c r="N12" s="15" t="s">
        <v>55</v>
      </c>
      <c r="O12" s="8" t="s">
        <v>122</v>
      </c>
      <c r="P12" s="9" t="s">
        <v>120</v>
      </c>
      <c r="Q12" s="16" t="s">
        <v>123</v>
      </c>
      <c r="R12" s="17">
        <v>44966</v>
      </c>
      <c r="S12" s="18" t="s">
        <v>58</v>
      </c>
      <c r="T12" s="19" t="str">
        <f t="shared" si="0"/>
        <v xml:space="preserve"> update person
  set  id_card_no = '049196009200'
 where  id = (select employee.id from employee where employee_code='VM234');</v>
      </c>
      <c r="U12" s="34" t="str">
        <f t="shared" si="1"/>
        <v>update employee
  set  print_name_e = 'Bùi Thị Diễm',
       print_name_l = 'Bùi Thị Diễm'
 where   employee_code='VM234';</v>
      </c>
    </row>
    <row r="13" spans="1:21" s="19" customFormat="1" ht="18" customHeight="1">
      <c r="A13" s="8" t="s">
        <v>124</v>
      </c>
      <c r="B13" s="9" t="s">
        <v>125</v>
      </c>
      <c r="C13" s="10">
        <v>28182</v>
      </c>
      <c r="D13" s="8" t="s">
        <v>14</v>
      </c>
      <c r="E13" s="9" t="s">
        <v>126</v>
      </c>
      <c r="F13" s="9" t="s">
        <v>99</v>
      </c>
      <c r="G13" s="11" t="s">
        <v>127</v>
      </c>
      <c r="H13" s="22" t="s">
        <v>15</v>
      </c>
      <c r="I13" s="11" t="s">
        <v>1065</v>
      </c>
      <c r="J13" s="9"/>
      <c r="K13" s="15"/>
      <c r="L13" s="21"/>
      <c r="M13" s="9"/>
      <c r="N13" s="15" t="s">
        <v>55</v>
      </c>
      <c r="O13" s="8" t="s">
        <v>128</v>
      </c>
      <c r="P13" s="9" t="s">
        <v>125</v>
      </c>
      <c r="Q13" s="16" t="s">
        <v>129</v>
      </c>
      <c r="R13" s="17">
        <v>44387</v>
      </c>
      <c r="S13" s="23" t="s">
        <v>58</v>
      </c>
      <c r="T13" s="19" t="str">
        <f t="shared" si="0"/>
        <v xml:space="preserve"> update person
  set  id_card_no = '079077026079'
 where  id = (select employee.id from employee where employee_code='VM004');</v>
      </c>
      <c r="U13" s="34" t="str">
        <f t="shared" si="1"/>
        <v>update employee
  set  print_name_e = 'Trần Phi Long',
       print_name_l = 'Trần Phi Long'
 where   employee_code='VM004';</v>
      </c>
    </row>
    <row r="14" spans="1:21" s="19" customFormat="1" ht="18" customHeight="1">
      <c r="A14" s="8" t="s">
        <v>130</v>
      </c>
      <c r="B14" s="9" t="s">
        <v>131</v>
      </c>
      <c r="C14" s="10">
        <v>31838</v>
      </c>
      <c r="D14" s="8" t="s">
        <v>14</v>
      </c>
      <c r="E14" s="9" t="s">
        <v>132</v>
      </c>
      <c r="F14" s="9" t="s">
        <v>99</v>
      </c>
      <c r="G14" s="11" t="s">
        <v>127</v>
      </c>
      <c r="H14" s="22" t="s">
        <v>15</v>
      </c>
      <c r="I14" s="11" t="s">
        <v>1067</v>
      </c>
      <c r="J14" s="9"/>
      <c r="K14" s="15"/>
      <c r="L14" s="21"/>
      <c r="M14" s="9"/>
      <c r="N14" s="15" t="s">
        <v>55</v>
      </c>
      <c r="O14" s="8" t="s">
        <v>133</v>
      </c>
      <c r="P14" s="9" t="s">
        <v>131</v>
      </c>
      <c r="Q14" s="16" t="s">
        <v>134</v>
      </c>
      <c r="R14" s="17">
        <v>44372</v>
      </c>
      <c r="S14" s="18" t="s">
        <v>58</v>
      </c>
      <c r="T14" s="19" t="str">
        <f t="shared" si="0"/>
        <v xml:space="preserve"> update person
  set  id_card_no = '027087006594'
 where  id = (select employee.id from employee where employee_code='VM020');</v>
      </c>
      <c r="U14" s="34" t="str">
        <f t="shared" si="1"/>
        <v>update employee
  set  print_name_e = 'Trương Công Tuấn',
       print_name_l = 'Trương Công Tuấn'
 where   employee_code='VM020';</v>
      </c>
    </row>
    <row r="15" spans="1:21" s="19" customFormat="1" ht="18" customHeight="1">
      <c r="A15" s="8" t="s">
        <v>135</v>
      </c>
      <c r="B15" s="9" t="s">
        <v>136</v>
      </c>
      <c r="C15" s="10">
        <v>35507</v>
      </c>
      <c r="D15" s="8" t="s">
        <v>14</v>
      </c>
      <c r="E15" s="9" t="s">
        <v>137</v>
      </c>
      <c r="F15" s="9" t="s">
        <v>99</v>
      </c>
      <c r="G15" s="11" t="s">
        <v>127</v>
      </c>
      <c r="H15" s="22" t="s">
        <v>15</v>
      </c>
      <c r="I15" s="11" t="s">
        <v>63</v>
      </c>
      <c r="J15" s="9"/>
      <c r="K15" s="15"/>
      <c r="L15" s="21"/>
      <c r="M15" s="9"/>
      <c r="N15" s="15" t="s">
        <v>55</v>
      </c>
      <c r="O15" s="8" t="s">
        <v>138</v>
      </c>
      <c r="P15" s="9" t="s">
        <v>139</v>
      </c>
      <c r="Q15" s="16" t="s">
        <v>140</v>
      </c>
      <c r="R15" s="17">
        <v>44981</v>
      </c>
      <c r="S15" s="18" t="s">
        <v>58</v>
      </c>
      <c r="T15" s="19" t="str">
        <f t="shared" si="0"/>
        <v xml:space="preserve"> update person
  set  id_card_no = '052097017254'
 where  id = (select employee.id from employee where employee_code='VM120');</v>
      </c>
      <c r="U15" s="34" t="str">
        <f t="shared" si="1"/>
        <v>update employee
  set  print_name_e = 'Phạm Phong Thành Dữ',
       print_name_l = 'Phạm Phong Thành Dữ'
 where   employee_code='VM120';</v>
      </c>
    </row>
    <row r="16" spans="1:21" s="19" customFormat="1" ht="18" customHeight="1">
      <c r="A16" s="8" t="s">
        <v>141</v>
      </c>
      <c r="B16" s="9" t="s">
        <v>142</v>
      </c>
      <c r="C16" s="10">
        <v>36728</v>
      </c>
      <c r="D16" s="8" t="s">
        <v>14</v>
      </c>
      <c r="E16" s="9" t="s">
        <v>143</v>
      </c>
      <c r="F16" s="9" t="s">
        <v>99</v>
      </c>
      <c r="G16" s="11" t="s">
        <v>144</v>
      </c>
      <c r="H16" s="22" t="s">
        <v>15</v>
      </c>
      <c r="I16" s="11" t="s">
        <v>63</v>
      </c>
      <c r="J16" s="9"/>
      <c r="K16" s="15"/>
      <c r="L16" s="21"/>
      <c r="M16" s="9"/>
      <c r="N16" s="15" t="s">
        <v>55</v>
      </c>
      <c r="O16" s="8" t="s">
        <v>145</v>
      </c>
      <c r="P16" s="9" t="s">
        <v>142</v>
      </c>
      <c r="Q16" s="16" t="s">
        <v>146</v>
      </c>
      <c r="R16" s="17">
        <v>45853</v>
      </c>
      <c r="S16" s="18" t="s">
        <v>48</v>
      </c>
      <c r="T16" s="19" t="str">
        <f t="shared" si="0"/>
        <v xml:space="preserve"> update person
  set  id_card_no = '087200016983'
 where  id = (select employee.id from employee where employee_code='VM189');</v>
      </c>
      <c r="U16" s="34" t="str">
        <f t="shared" si="1"/>
        <v>update employee
  set  print_name_e = 'Nguyễn Hoàng Ân',
       print_name_l = 'Nguyễn Hoàng Ân'
 where   employee_code='VM189';</v>
      </c>
    </row>
    <row r="17" spans="1:21" s="19" customFormat="1" ht="18" customHeight="1">
      <c r="A17" s="8" t="s">
        <v>147</v>
      </c>
      <c r="B17" s="11" t="s">
        <v>148</v>
      </c>
      <c r="C17" s="10">
        <v>30239</v>
      </c>
      <c r="D17" s="8" t="s">
        <v>14</v>
      </c>
      <c r="E17" s="9" t="s">
        <v>149</v>
      </c>
      <c r="F17" s="9" t="s">
        <v>99</v>
      </c>
      <c r="G17" s="11" t="s">
        <v>150</v>
      </c>
      <c r="H17" s="22" t="s">
        <v>151</v>
      </c>
      <c r="I17" s="11" t="s">
        <v>63</v>
      </c>
      <c r="J17" s="9"/>
      <c r="K17" s="15"/>
      <c r="L17" s="21"/>
      <c r="M17" s="9"/>
      <c r="N17" s="15" t="s">
        <v>55</v>
      </c>
      <c r="O17" s="8" t="s">
        <v>152</v>
      </c>
      <c r="P17" s="9" t="s">
        <v>148</v>
      </c>
      <c r="Q17" s="16" t="s">
        <v>153</v>
      </c>
      <c r="R17" s="17">
        <v>44840</v>
      </c>
      <c r="S17" s="18" t="s">
        <v>58</v>
      </c>
      <c r="T17" s="19" t="str">
        <f t="shared" si="0"/>
        <v xml:space="preserve"> update person
  set  id_card_no = '079082007160'
 where  id = (select employee.id from employee where employee_code='VM151');</v>
      </c>
      <c r="U17" s="34" t="str">
        <f t="shared" si="1"/>
        <v>update employee
  set  print_name_e = 'Trần Xuân Sang',
       print_name_l = 'Trần Xuân Sang'
 where   employee_code='VM151';</v>
      </c>
    </row>
    <row r="18" spans="1:21" s="19" customFormat="1" ht="18" customHeight="1">
      <c r="A18" s="8" t="s">
        <v>154</v>
      </c>
      <c r="B18" s="11" t="s">
        <v>155</v>
      </c>
      <c r="C18" s="10">
        <v>33739</v>
      </c>
      <c r="D18" s="8" t="s">
        <v>14</v>
      </c>
      <c r="E18" s="9" t="s">
        <v>156</v>
      </c>
      <c r="F18" s="9" t="s">
        <v>99</v>
      </c>
      <c r="G18" s="11" t="s">
        <v>157</v>
      </c>
      <c r="H18" s="22" t="s">
        <v>15</v>
      </c>
      <c r="I18" s="11" t="s">
        <v>961</v>
      </c>
      <c r="J18" s="9"/>
      <c r="K18" s="15"/>
      <c r="L18" s="21"/>
      <c r="M18" s="9"/>
      <c r="N18" s="15" t="s">
        <v>55</v>
      </c>
      <c r="O18" s="8" t="s">
        <v>158</v>
      </c>
      <c r="P18" s="9" t="s">
        <v>155</v>
      </c>
      <c r="Q18" s="16" t="s">
        <v>159</v>
      </c>
      <c r="R18" s="17">
        <v>44947</v>
      </c>
      <c r="S18" s="18" t="s">
        <v>58</v>
      </c>
      <c r="T18" s="19" t="str">
        <f t="shared" si="0"/>
        <v xml:space="preserve"> update person
  set  id_card_no = '084092007495'
 where  id = (select employee.id from employee where employee_code='VM015');</v>
      </c>
      <c r="U18" s="34" t="str">
        <f t="shared" si="1"/>
        <v>update employee
  set  print_name_e = 'Nguyễn Đăng Khoa',
       print_name_l = 'Nguyễn Đăng Khoa'
 where   employee_code='VM015';</v>
      </c>
    </row>
    <row r="19" spans="1:21" s="19" customFormat="1" ht="18" customHeight="1">
      <c r="A19" s="8" t="s">
        <v>160</v>
      </c>
      <c r="B19" s="11" t="s">
        <v>161</v>
      </c>
      <c r="C19" s="10">
        <v>37969</v>
      </c>
      <c r="D19" s="8" t="s">
        <v>14</v>
      </c>
      <c r="E19" s="9" t="s">
        <v>162</v>
      </c>
      <c r="F19" s="9" t="s">
        <v>99</v>
      </c>
      <c r="G19" s="11" t="s">
        <v>157</v>
      </c>
      <c r="H19" s="22" t="s">
        <v>15</v>
      </c>
      <c r="I19" s="11" t="s">
        <v>961</v>
      </c>
      <c r="J19" s="9"/>
      <c r="K19" s="15"/>
      <c r="L19" s="21"/>
      <c r="M19" s="9"/>
      <c r="N19" s="15" t="s">
        <v>55</v>
      </c>
      <c r="O19" s="8" t="s">
        <v>163</v>
      </c>
      <c r="P19" s="9" t="s">
        <v>161</v>
      </c>
      <c r="Q19" s="16" t="s">
        <v>164</v>
      </c>
      <c r="R19" s="17" t="s">
        <v>165</v>
      </c>
      <c r="S19" s="23" t="s">
        <v>58</v>
      </c>
      <c r="T19" s="19" t="str">
        <f t="shared" si="0"/>
        <v xml:space="preserve"> update person
  set  id_card_no = '096203004112'
 where  id = (select employee.id from employee where employee_code='VM172');</v>
      </c>
      <c r="U19" s="34" t="str">
        <f t="shared" si="1"/>
        <v>update employee
  set  print_name_e = 'Võ Minh Thoáng',
       print_name_l = 'Võ Minh Thoáng'
 where   employee_code='VM172';</v>
      </c>
    </row>
    <row r="20" spans="1:21" s="19" customFormat="1" ht="18" customHeight="1">
      <c r="A20" s="8" t="s">
        <v>166</v>
      </c>
      <c r="B20" s="9" t="s">
        <v>167</v>
      </c>
      <c r="C20" s="10">
        <v>30302</v>
      </c>
      <c r="D20" s="8" t="s">
        <v>14</v>
      </c>
      <c r="E20" s="9" t="s">
        <v>168</v>
      </c>
      <c r="F20" s="9" t="s">
        <v>99</v>
      </c>
      <c r="G20" s="11" t="s">
        <v>157</v>
      </c>
      <c r="H20" s="22" t="s">
        <v>15</v>
      </c>
      <c r="I20" s="11" t="s">
        <v>961</v>
      </c>
      <c r="J20" s="8"/>
      <c r="K20" s="13"/>
      <c r="L20" s="14"/>
      <c r="M20" s="9"/>
      <c r="N20" s="15" t="s">
        <v>55</v>
      </c>
      <c r="O20" s="8" t="s">
        <v>169</v>
      </c>
      <c r="P20" s="9" t="s">
        <v>170</v>
      </c>
      <c r="Q20" s="16" t="s">
        <v>171</v>
      </c>
      <c r="R20" s="17">
        <v>44326</v>
      </c>
      <c r="S20" s="18" t="s">
        <v>58</v>
      </c>
      <c r="T20" s="19" t="str">
        <f t="shared" ref="T20:T83" si="2">" update person
  set  id_card_no = '"&amp;Q20&amp;"'
 where  id = (select employee.id from employee where employee_code='"&amp;A20&amp;"');"</f>
        <v xml:space="preserve"> update person
  set  id_card_no = '079082002717'
 where  id = (select employee.id from employee where employee_code='VM201');</v>
      </c>
      <c r="U20" s="34" t="str">
        <f t="shared" si="1"/>
        <v>update employee
  set  print_name_e = 'Cù Vinh An',
       print_name_l = 'Cù Vinh An'
 where   employee_code='VM201';</v>
      </c>
    </row>
    <row r="21" spans="1:21" s="19" customFormat="1" ht="18" customHeight="1">
      <c r="A21" s="8" t="s">
        <v>172</v>
      </c>
      <c r="B21" s="9" t="s">
        <v>173</v>
      </c>
      <c r="C21" s="10">
        <v>34712</v>
      </c>
      <c r="D21" s="8" t="s">
        <v>14</v>
      </c>
      <c r="E21" s="9" t="s">
        <v>162</v>
      </c>
      <c r="F21" s="9" t="s">
        <v>99</v>
      </c>
      <c r="G21" s="11" t="s">
        <v>157</v>
      </c>
      <c r="H21" s="22" t="s">
        <v>15</v>
      </c>
      <c r="I21" s="11" t="s">
        <v>961</v>
      </c>
      <c r="J21" s="9"/>
      <c r="K21" s="15"/>
      <c r="L21" s="21"/>
      <c r="M21" s="9"/>
      <c r="N21" s="15" t="s">
        <v>55</v>
      </c>
      <c r="O21" s="8" t="s">
        <v>174</v>
      </c>
      <c r="P21" s="9" t="s">
        <v>173</v>
      </c>
      <c r="Q21" s="16" t="s">
        <v>175</v>
      </c>
      <c r="R21" s="17">
        <v>44419</v>
      </c>
      <c r="S21" s="18" t="s">
        <v>58</v>
      </c>
      <c r="T21" s="19" t="str">
        <f t="shared" si="2"/>
        <v xml:space="preserve"> update person
  set  id_card_no = '079095013650'
 where  id = (select employee.id from employee where employee_code='VM229');</v>
      </c>
      <c r="U21" s="34" t="str">
        <f t="shared" si="1"/>
        <v>update employee
  set  print_name_e = 'Nguyễn Trung Đạt',
       print_name_l = 'Nguyễn Trung Đạt'
 where   employee_code='VM229';</v>
      </c>
    </row>
    <row r="22" spans="1:21" s="19" customFormat="1" ht="18" customHeight="1">
      <c r="A22" s="8" t="s">
        <v>176</v>
      </c>
      <c r="B22" s="9" t="s">
        <v>177</v>
      </c>
      <c r="C22" s="10">
        <v>38286</v>
      </c>
      <c r="D22" s="8" t="s">
        <v>14</v>
      </c>
      <c r="E22" s="9" t="s">
        <v>178</v>
      </c>
      <c r="F22" s="9" t="s">
        <v>99</v>
      </c>
      <c r="G22" s="11" t="s">
        <v>157</v>
      </c>
      <c r="H22" s="12" t="s">
        <v>15</v>
      </c>
      <c r="I22" s="11" t="s">
        <v>961</v>
      </c>
      <c r="J22" s="9"/>
      <c r="K22" s="15"/>
      <c r="L22" s="21"/>
      <c r="M22" s="9"/>
      <c r="N22" s="15" t="s">
        <v>55</v>
      </c>
      <c r="O22" s="8" t="s">
        <v>179</v>
      </c>
      <c r="P22" s="9" t="s">
        <v>177</v>
      </c>
      <c r="Q22" s="16" t="s">
        <v>180</v>
      </c>
      <c r="R22" s="17">
        <v>44574</v>
      </c>
      <c r="S22" s="18" t="s">
        <v>58</v>
      </c>
      <c r="T22" s="19" t="str">
        <f t="shared" si="2"/>
        <v xml:space="preserve"> update person
  set  id_card_no = '079204026019'
 where  id = (select employee.id from employee where employee_code='VM231');</v>
      </c>
      <c r="U22" s="34" t="str">
        <f t="shared" si="1"/>
        <v>update employee
  set  print_name_e = 'Trần Thanh Anh Khôi',
       print_name_l = 'Trần Thanh Anh Khôi'
 where   employee_code='VM231';</v>
      </c>
    </row>
    <row r="23" spans="1:21" s="19" customFormat="1" ht="18" customHeight="1">
      <c r="A23" s="8" t="s">
        <v>181</v>
      </c>
      <c r="B23" s="9" t="s">
        <v>182</v>
      </c>
      <c r="C23" s="10">
        <v>29774</v>
      </c>
      <c r="D23" s="8" t="s">
        <v>16</v>
      </c>
      <c r="E23" s="9" t="s">
        <v>143</v>
      </c>
      <c r="F23" s="9" t="s">
        <v>99</v>
      </c>
      <c r="G23" s="11" t="s">
        <v>183</v>
      </c>
      <c r="H23" s="12" t="s">
        <v>15</v>
      </c>
      <c r="I23" s="11" t="s">
        <v>961</v>
      </c>
      <c r="J23" s="9"/>
      <c r="K23" s="15"/>
      <c r="L23" s="21"/>
      <c r="M23" s="9"/>
      <c r="N23" s="15" t="s">
        <v>55</v>
      </c>
      <c r="O23" s="8" t="s">
        <v>184</v>
      </c>
      <c r="P23" s="9" t="s">
        <v>182</v>
      </c>
      <c r="Q23" s="16" t="s">
        <v>185</v>
      </c>
      <c r="R23" s="17">
        <v>44293</v>
      </c>
      <c r="S23" s="18" t="s">
        <v>58</v>
      </c>
      <c r="T23" s="19" t="str">
        <f t="shared" si="2"/>
        <v xml:space="preserve"> update person
  set  id_card_no = '086181001407'
 where  id = (select employee.id from employee where employee_code='VM117');</v>
      </c>
      <c r="U23" s="34" t="str">
        <f t="shared" si="1"/>
        <v>update employee
  set  print_name_e = 'Đinh Thị Kim Hoàng',
       print_name_l = 'Đinh Thị Kim Hoàng'
 where   employee_code='VM117';</v>
      </c>
    </row>
    <row r="24" spans="1:21" s="19" customFormat="1" ht="18" customHeight="1">
      <c r="A24" s="8" t="s">
        <v>186</v>
      </c>
      <c r="B24" s="9" t="s">
        <v>30</v>
      </c>
      <c r="C24" s="10">
        <v>35592</v>
      </c>
      <c r="D24" s="8" t="s">
        <v>16</v>
      </c>
      <c r="E24" s="9" t="s">
        <v>143</v>
      </c>
      <c r="F24" s="9" t="s">
        <v>99</v>
      </c>
      <c r="G24" s="11" t="s">
        <v>183</v>
      </c>
      <c r="H24" s="22" t="s">
        <v>15</v>
      </c>
      <c r="I24" s="11" t="s">
        <v>961</v>
      </c>
      <c r="J24" s="9"/>
      <c r="K24" s="15"/>
      <c r="L24" s="21"/>
      <c r="M24" s="9"/>
      <c r="N24" s="15" t="s">
        <v>55</v>
      </c>
      <c r="O24" s="8" t="s">
        <v>187</v>
      </c>
      <c r="P24" s="9" t="s">
        <v>30</v>
      </c>
      <c r="Q24" s="16" t="s">
        <v>188</v>
      </c>
      <c r="R24" s="17">
        <v>44293</v>
      </c>
      <c r="S24" s="18" t="s">
        <v>58</v>
      </c>
      <c r="T24" s="19" t="str">
        <f t="shared" si="2"/>
        <v xml:space="preserve"> update person
  set  id_card_no = '079197014431'
 where  id = (select employee.id from employee where employee_code='VM026');</v>
      </c>
      <c r="U24" s="34" t="str">
        <f t="shared" si="1"/>
        <v>update employee
  set  print_name_e = 'Nguyễn Thị Thu Thảo',
       print_name_l = 'Nguyễn Thị Thu Thảo'
 where   employee_code='VM026';</v>
      </c>
    </row>
    <row r="25" spans="1:21" s="19" customFormat="1" ht="18" customHeight="1">
      <c r="A25" s="8" t="s">
        <v>189</v>
      </c>
      <c r="B25" s="9" t="s">
        <v>190</v>
      </c>
      <c r="C25" s="10">
        <v>31242</v>
      </c>
      <c r="D25" s="8" t="s">
        <v>16</v>
      </c>
      <c r="E25" s="9" t="s">
        <v>191</v>
      </c>
      <c r="F25" s="9" t="s">
        <v>99</v>
      </c>
      <c r="G25" s="11" t="s">
        <v>183</v>
      </c>
      <c r="H25" s="22" t="s">
        <v>15</v>
      </c>
      <c r="I25" s="11" t="s">
        <v>961</v>
      </c>
      <c r="J25" s="8"/>
      <c r="K25" s="13"/>
      <c r="L25" s="14"/>
      <c r="M25" s="9"/>
      <c r="N25" s="15" t="s">
        <v>55</v>
      </c>
      <c r="O25" s="8" t="s">
        <v>192</v>
      </c>
      <c r="P25" s="9" t="s">
        <v>190</v>
      </c>
      <c r="Q25" s="16" t="s">
        <v>193</v>
      </c>
      <c r="R25" s="17">
        <v>45847</v>
      </c>
      <c r="S25" s="18" t="s">
        <v>58</v>
      </c>
      <c r="T25" s="19" t="str">
        <f t="shared" si="2"/>
        <v xml:space="preserve"> update person
  set  id_card_no = '094185014920'
 where  id = (select employee.id from employee where employee_code='VM051');</v>
      </c>
      <c r="U25" s="34" t="str">
        <f t="shared" si="1"/>
        <v>update employee
  set  print_name_e = 'Nguyễn Thị Mến',
       print_name_l = 'Nguyễn Thị Mến'
 where   employee_code='VM051';</v>
      </c>
    </row>
    <row r="26" spans="1:21" s="19" customFormat="1" ht="18" customHeight="1">
      <c r="A26" s="8" t="s">
        <v>194</v>
      </c>
      <c r="B26" s="9" t="s">
        <v>27</v>
      </c>
      <c r="C26" s="10">
        <v>30749</v>
      </c>
      <c r="D26" s="8" t="s">
        <v>16</v>
      </c>
      <c r="E26" s="9" t="s">
        <v>61</v>
      </c>
      <c r="F26" s="9" t="s">
        <v>99</v>
      </c>
      <c r="G26" s="11" t="s">
        <v>195</v>
      </c>
      <c r="H26" s="22" t="s">
        <v>196</v>
      </c>
      <c r="I26" s="11" t="s">
        <v>961</v>
      </c>
      <c r="J26" s="9"/>
      <c r="K26" s="15"/>
      <c r="L26" s="21"/>
      <c r="M26" s="9"/>
      <c r="N26" s="15" t="s">
        <v>55</v>
      </c>
      <c r="O26" s="8" t="s">
        <v>197</v>
      </c>
      <c r="P26" s="9" t="s">
        <v>27</v>
      </c>
      <c r="Q26" s="16" t="s">
        <v>198</v>
      </c>
      <c r="R26" s="17">
        <v>45495</v>
      </c>
      <c r="S26" s="18" t="s">
        <v>58</v>
      </c>
      <c r="T26" s="19" t="str">
        <f t="shared" si="2"/>
        <v xml:space="preserve"> update person
  set  id_card_no = '079184035038'
 where  id = (select employee.id from employee where employee_code='VM119');</v>
      </c>
      <c r="U26" s="34" t="str">
        <f t="shared" si="1"/>
        <v>update employee
  set  print_name_e = 'Nguyễn Thị Kim Phượng',
       print_name_l = 'Nguyễn Thị Kim Phượng'
 where   employee_code='VM119';</v>
      </c>
    </row>
    <row r="27" spans="1:21" s="19" customFormat="1" ht="18" customHeight="1">
      <c r="A27" s="8" t="s">
        <v>199</v>
      </c>
      <c r="B27" s="9" t="s">
        <v>200</v>
      </c>
      <c r="C27" s="10">
        <v>30792</v>
      </c>
      <c r="D27" s="8" t="s">
        <v>16</v>
      </c>
      <c r="E27" s="9" t="s">
        <v>201</v>
      </c>
      <c r="F27" s="9" t="s">
        <v>99</v>
      </c>
      <c r="G27" s="11" t="s">
        <v>183</v>
      </c>
      <c r="H27" s="22" t="s">
        <v>15</v>
      </c>
      <c r="I27" s="11" t="s">
        <v>961</v>
      </c>
      <c r="J27" s="9"/>
      <c r="K27" s="15"/>
      <c r="L27" s="21"/>
      <c r="M27" s="9"/>
      <c r="N27" s="15" t="s">
        <v>55</v>
      </c>
      <c r="O27" s="8" t="s">
        <v>202</v>
      </c>
      <c r="P27" s="9" t="s">
        <v>200</v>
      </c>
      <c r="Q27" s="16" t="s">
        <v>203</v>
      </c>
      <c r="R27" s="17">
        <v>45383</v>
      </c>
      <c r="S27" s="23" t="s">
        <v>58</v>
      </c>
      <c r="T27" s="19" t="str">
        <f t="shared" si="2"/>
        <v xml:space="preserve"> update person
  set  id_card_no = '086184000127'
 where  id = (select employee.id from employee where employee_code='VM178');</v>
      </c>
      <c r="U27" s="34" t="str">
        <f t="shared" si="1"/>
        <v>update employee
  set  print_name_e = 'Lê Thị Thanh Thanh',
       print_name_l = 'Lê Thị Thanh Thanh'
 where   employee_code='VM178';</v>
      </c>
    </row>
    <row r="28" spans="1:21" s="19" customFormat="1" ht="18" customHeight="1">
      <c r="A28" s="8" t="s">
        <v>204</v>
      </c>
      <c r="B28" s="9" t="s">
        <v>205</v>
      </c>
      <c r="C28" s="10">
        <v>33239</v>
      </c>
      <c r="D28" s="8" t="s">
        <v>16</v>
      </c>
      <c r="E28" s="9" t="s">
        <v>206</v>
      </c>
      <c r="F28" s="9" t="s">
        <v>99</v>
      </c>
      <c r="G28" s="11" t="s">
        <v>183</v>
      </c>
      <c r="H28" s="22" t="s">
        <v>15</v>
      </c>
      <c r="I28" s="11" t="s">
        <v>961</v>
      </c>
      <c r="J28" s="9"/>
      <c r="K28" s="15"/>
      <c r="L28" s="21"/>
      <c r="M28" s="9"/>
      <c r="N28" s="15" t="s">
        <v>55</v>
      </c>
      <c r="O28" s="8" t="s">
        <v>207</v>
      </c>
      <c r="P28" s="9" t="s">
        <v>205</v>
      </c>
      <c r="Q28" s="16" t="s">
        <v>208</v>
      </c>
      <c r="R28" s="17">
        <v>44991</v>
      </c>
      <c r="S28" s="18" t="s">
        <v>58</v>
      </c>
      <c r="T28" s="19" t="str">
        <f t="shared" si="2"/>
        <v xml:space="preserve"> update person
  set  id_card_no = '094191000048'
 where  id = (select employee.id from employee where employee_code='VM140');</v>
      </c>
      <c r="U28" s="34" t="str">
        <f t="shared" si="1"/>
        <v>update employee
  set  print_name_e = 'Lý Kiều Tiên',
       print_name_l = 'Lý Kiều Tiên'
 where   employee_code='VM140';</v>
      </c>
    </row>
    <row r="29" spans="1:21" s="19" customFormat="1" ht="18" customHeight="1">
      <c r="A29" s="8" t="s">
        <v>209</v>
      </c>
      <c r="B29" s="9" t="s">
        <v>210</v>
      </c>
      <c r="C29" s="10">
        <v>32509</v>
      </c>
      <c r="D29" s="8" t="s">
        <v>16</v>
      </c>
      <c r="E29" s="9" t="s">
        <v>211</v>
      </c>
      <c r="F29" s="9" t="s">
        <v>99</v>
      </c>
      <c r="G29" s="11" t="s">
        <v>183</v>
      </c>
      <c r="H29" s="22" t="s">
        <v>15</v>
      </c>
      <c r="I29" s="11" t="s">
        <v>961</v>
      </c>
      <c r="J29" s="9"/>
      <c r="K29" s="15"/>
      <c r="L29" s="21"/>
      <c r="M29" s="9"/>
      <c r="N29" s="15" t="s">
        <v>55</v>
      </c>
      <c r="O29" s="8" t="s">
        <v>212</v>
      </c>
      <c r="P29" s="9" t="s">
        <v>213</v>
      </c>
      <c r="Q29" s="16" t="s">
        <v>214</v>
      </c>
      <c r="R29" s="17">
        <v>44375</v>
      </c>
      <c r="S29" s="18" t="s">
        <v>58</v>
      </c>
      <c r="T29" s="19" t="str">
        <f t="shared" si="2"/>
        <v xml:space="preserve"> update person
  set  id_card_no = '094189012921'
 where  id = (select employee.id from employee where employee_code='VM152');</v>
      </c>
      <c r="U29" s="34" t="str">
        <f t="shared" si="1"/>
        <v>update employee
  set  print_name_e = 'Lý Kiều Diễm',
       print_name_l = 'Lý Kiều Diễm'
 where   employee_code='VM152';</v>
      </c>
    </row>
    <row r="30" spans="1:21" s="19" customFormat="1" ht="18" customHeight="1">
      <c r="A30" s="8" t="s">
        <v>215</v>
      </c>
      <c r="B30" s="9" t="s">
        <v>216</v>
      </c>
      <c r="C30" s="10">
        <v>31770</v>
      </c>
      <c r="D30" s="8" t="s">
        <v>14</v>
      </c>
      <c r="E30" s="9" t="s">
        <v>217</v>
      </c>
      <c r="F30" s="9" t="s">
        <v>99</v>
      </c>
      <c r="G30" s="11" t="s">
        <v>183</v>
      </c>
      <c r="H30" s="22" t="s">
        <v>15</v>
      </c>
      <c r="I30" s="11" t="s">
        <v>961</v>
      </c>
      <c r="J30" s="9"/>
      <c r="K30" s="15"/>
      <c r="L30" s="21"/>
      <c r="M30" s="9"/>
      <c r="N30" s="15" t="s">
        <v>55</v>
      </c>
      <c r="O30" s="8" t="s">
        <v>218</v>
      </c>
      <c r="P30" s="9" t="s">
        <v>216</v>
      </c>
      <c r="Q30" s="16" t="s">
        <v>219</v>
      </c>
      <c r="R30" s="17">
        <v>44924</v>
      </c>
      <c r="S30" s="18" t="s">
        <v>58</v>
      </c>
      <c r="T30" s="19" t="str">
        <f t="shared" si="2"/>
        <v xml:space="preserve"> update person
  set  id_card_no = '094086002751'
 where  id = (select employee.id from employee where employee_code='VM196');</v>
      </c>
      <c r="U30" s="34" t="str">
        <f t="shared" si="1"/>
        <v>update employee
  set  print_name_e = 'Âu Quang An',
       print_name_l = 'Âu Quang An'
 where   employee_code='VM196';</v>
      </c>
    </row>
    <row r="31" spans="1:21" s="19" customFormat="1" ht="18" customHeight="1">
      <c r="A31" s="8" t="s">
        <v>220</v>
      </c>
      <c r="B31" s="9" t="s">
        <v>221</v>
      </c>
      <c r="C31" s="10">
        <v>37872</v>
      </c>
      <c r="D31" s="8" t="s">
        <v>16</v>
      </c>
      <c r="E31" s="9" t="s">
        <v>222</v>
      </c>
      <c r="F31" s="9" t="s">
        <v>99</v>
      </c>
      <c r="G31" s="11" t="s">
        <v>183</v>
      </c>
      <c r="H31" s="22" t="s">
        <v>15</v>
      </c>
      <c r="I31" s="11" t="s">
        <v>961</v>
      </c>
      <c r="J31" s="9"/>
      <c r="K31" s="15"/>
      <c r="L31" s="21"/>
      <c r="M31" s="9"/>
      <c r="N31" s="15" t="s">
        <v>55</v>
      </c>
      <c r="O31" s="8" t="s">
        <v>223</v>
      </c>
      <c r="P31" s="9" t="s">
        <v>221</v>
      </c>
      <c r="Q31" s="16" t="s">
        <v>224</v>
      </c>
      <c r="R31" s="17">
        <v>44286</v>
      </c>
      <c r="S31" s="18" t="s">
        <v>58</v>
      </c>
      <c r="T31" s="19" t="str">
        <f t="shared" si="2"/>
        <v xml:space="preserve"> update person
  set  id_card_no = '094303000737'
 where  id = (select employee.id from employee where employee_code='VM210');</v>
      </c>
      <c r="U31" s="34" t="str">
        <f t="shared" si="1"/>
        <v>update employee
  set  print_name_e = 'Lý Thị Kiều Ngân',
       print_name_l = 'Lý Thị Kiều Ngân'
 where   employee_code='VM210';</v>
      </c>
    </row>
    <row r="32" spans="1:21" s="19" customFormat="1" ht="18" customHeight="1">
      <c r="A32" s="8" t="s">
        <v>225</v>
      </c>
      <c r="B32" s="9" t="s">
        <v>226</v>
      </c>
      <c r="C32" s="10">
        <v>32988</v>
      </c>
      <c r="D32" s="8" t="s">
        <v>16</v>
      </c>
      <c r="E32" s="9" t="s">
        <v>61</v>
      </c>
      <c r="F32" s="9" t="s">
        <v>99</v>
      </c>
      <c r="G32" s="11" t="s">
        <v>183</v>
      </c>
      <c r="H32" s="22" t="s">
        <v>15</v>
      </c>
      <c r="I32" s="11" t="s">
        <v>961</v>
      </c>
      <c r="J32" s="9"/>
      <c r="K32" s="15"/>
      <c r="L32" s="21"/>
      <c r="M32" s="9"/>
      <c r="N32" s="15" t="s">
        <v>55</v>
      </c>
      <c r="O32" s="8" t="s">
        <v>227</v>
      </c>
      <c r="P32" s="9" t="s">
        <v>226</v>
      </c>
      <c r="Q32" s="16" t="s">
        <v>228</v>
      </c>
      <c r="R32" s="17">
        <v>44552</v>
      </c>
      <c r="S32" s="18" t="s">
        <v>58</v>
      </c>
      <c r="T32" s="19" t="str">
        <f t="shared" si="2"/>
        <v xml:space="preserve"> update person
  set  id_card_no = '079190011103'
 where  id = (select employee.id from employee where employee_code='VM225');</v>
      </c>
      <c r="U32" s="34" t="str">
        <f t="shared" si="1"/>
        <v>update employee
  set  print_name_e = 'Nguyễn Thị Bích Trâm',
       print_name_l = 'Nguyễn Thị Bích Trâm'
 where   employee_code='VM225';</v>
      </c>
    </row>
    <row r="33" spans="1:21" s="19" customFormat="1" ht="18" customHeight="1">
      <c r="A33" s="8" t="s">
        <v>229</v>
      </c>
      <c r="B33" s="9" t="s">
        <v>230</v>
      </c>
      <c r="C33" s="10">
        <v>27395</v>
      </c>
      <c r="D33" s="8" t="s">
        <v>14</v>
      </c>
      <c r="E33" s="9" t="s">
        <v>231</v>
      </c>
      <c r="F33" s="9" t="s">
        <v>99</v>
      </c>
      <c r="G33" s="11" t="s">
        <v>232</v>
      </c>
      <c r="H33" s="22" t="s">
        <v>15</v>
      </c>
      <c r="I33" s="11" t="s">
        <v>961</v>
      </c>
      <c r="J33" s="9"/>
      <c r="K33" s="15"/>
      <c r="L33" s="21"/>
      <c r="M33" s="9"/>
      <c r="N33" s="15" t="s">
        <v>55</v>
      </c>
      <c r="O33" s="8" t="s">
        <v>233</v>
      </c>
      <c r="P33" s="9" t="s">
        <v>230</v>
      </c>
      <c r="Q33" s="16" t="s">
        <v>234</v>
      </c>
      <c r="R33" s="17">
        <v>44467</v>
      </c>
      <c r="S33" s="18" t="s">
        <v>58</v>
      </c>
      <c r="T33" s="19" t="str">
        <f t="shared" si="2"/>
        <v xml:space="preserve"> update person
  set  id_card_no = '049075068084'
 where  id = (select employee.id from employee where employee_code='VM197');</v>
      </c>
      <c r="U33" s="34" t="str">
        <f t="shared" si="1"/>
        <v>update employee
  set  print_name_e = 'Lương Sơn Vũ',
       print_name_l = 'Lương Sơn Vũ'
 where   employee_code='VM197';</v>
      </c>
    </row>
    <row r="34" spans="1:21" s="19" customFormat="1" ht="18" customHeight="1">
      <c r="A34" s="8" t="s">
        <v>235</v>
      </c>
      <c r="B34" s="9" t="s">
        <v>236</v>
      </c>
      <c r="C34" s="10">
        <v>26841</v>
      </c>
      <c r="D34" s="8" t="s">
        <v>14</v>
      </c>
      <c r="E34" s="9" t="s">
        <v>237</v>
      </c>
      <c r="F34" s="9" t="s">
        <v>99</v>
      </c>
      <c r="G34" s="11" t="s">
        <v>238</v>
      </c>
      <c r="H34" s="22" t="s">
        <v>15</v>
      </c>
      <c r="I34" s="11" t="s">
        <v>961</v>
      </c>
      <c r="J34" s="9"/>
      <c r="K34" s="15"/>
      <c r="L34" s="21"/>
      <c r="M34" s="9"/>
      <c r="N34" s="15" t="s">
        <v>55</v>
      </c>
      <c r="O34" s="8" t="s">
        <v>239</v>
      </c>
      <c r="P34" s="9" t="s">
        <v>236</v>
      </c>
      <c r="Q34" s="16" t="s">
        <v>240</v>
      </c>
      <c r="R34" s="17">
        <v>44397</v>
      </c>
      <c r="S34" s="18" t="s">
        <v>58</v>
      </c>
      <c r="T34" s="19" t="str">
        <f t="shared" si="2"/>
        <v xml:space="preserve"> update person
  set  id_card_no = '080073010020'
 where  id = (select employee.id from employee where employee_code='VM148');</v>
      </c>
      <c r="U34" s="34" t="str">
        <f t="shared" si="1"/>
        <v>update employee
  set  print_name_e = 'Lê Đức Tuấn',
       print_name_l = 'Lê Đức Tuấn'
 where   employee_code='VM148';</v>
      </c>
    </row>
    <row r="35" spans="1:21" s="19" customFormat="1" ht="18" customHeight="1">
      <c r="A35" s="8" t="s">
        <v>241</v>
      </c>
      <c r="B35" s="9" t="s">
        <v>242</v>
      </c>
      <c r="C35" s="10">
        <v>31143</v>
      </c>
      <c r="D35" s="8" t="s">
        <v>14</v>
      </c>
      <c r="E35" s="9" t="s">
        <v>61</v>
      </c>
      <c r="F35" s="9" t="s">
        <v>25</v>
      </c>
      <c r="G35" s="11" t="s">
        <v>243</v>
      </c>
      <c r="H35" s="22" t="s">
        <v>22</v>
      </c>
      <c r="I35" s="11" t="s">
        <v>63</v>
      </c>
      <c r="J35" s="9"/>
      <c r="K35" s="15"/>
      <c r="L35" s="21"/>
      <c r="M35" s="9"/>
      <c r="N35" s="15" t="s">
        <v>55</v>
      </c>
      <c r="O35" s="8" t="s">
        <v>244</v>
      </c>
      <c r="P35" s="9" t="s">
        <v>242</v>
      </c>
      <c r="Q35" s="16" t="s">
        <v>245</v>
      </c>
      <c r="R35" s="17">
        <v>45793</v>
      </c>
      <c r="S35" s="18" t="s">
        <v>48</v>
      </c>
      <c r="T35" s="19" t="str">
        <f t="shared" si="2"/>
        <v xml:space="preserve"> update person
  set  id_card_no = '079085027148'
 where  id = (select employee.id from employee where employee_code='VM191');</v>
      </c>
      <c r="U35" s="34" t="str">
        <f t="shared" si="1"/>
        <v>update employee
  set  print_name_e = 'Nguyễn Xuân Lâm',
       print_name_l = 'Nguyễn Xuân Lâm'
 where   employee_code='VM191';</v>
      </c>
    </row>
    <row r="36" spans="1:21" s="19" customFormat="1" ht="18" customHeight="1">
      <c r="A36" s="8" t="s">
        <v>246</v>
      </c>
      <c r="B36" s="9" t="s">
        <v>247</v>
      </c>
      <c r="C36" s="10">
        <v>33704</v>
      </c>
      <c r="D36" s="8" t="s">
        <v>14</v>
      </c>
      <c r="E36" s="9" t="s">
        <v>110</v>
      </c>
      <c r="F36" s="9" t="s">
        <v>25</v>
      </c>
      <c r="G36" s="11" t="s">
        <v>248</v>
      </c>
      <c r="H36" s="22" t="s">
        <v>15</v>
      </c>
      <c r="I36" s="11" t="s">
        <v>63</v>
      </c>
      <c r="J36" s="9"/>
      <c r="K36" s="15"/>
      <c r="L36" s="21"/>
      <c r="M36" s="9"/>
      <c r="N36" s="15" t="s">
        <v>55</v>
      </c>
      <c r="O36" s="8" t="s">
        <v>249</v>
      </c>
      <c r="P36" s="9" t="s">
        <v>247</v>
      </c>
      <c r="Q36" s="16" t="s">
        <v>250</v>
      </c>
      <c r="R36" s="17">
        <v>44871</v>
      </c>
      <c r="S36" s="18" t="s">
        <v>58</v>
      </c>
      <c r="T36" s="19" t="str">
        <f t="shared" si="2"/>
        <v xml:space="preserve"> update person
  set  id_card_no = '054092003285'
 where  id = (select employee.id from employee where employee_code='VM192');</v>
      </c>
      <c r="U36" s="34" t="str">
        <f t="shared" si="1"/>
        <v>update employee
  set  print_name_e = 'Nguyễn Văn Đồng',
       print_name_l = 'Nguyễn Văn Đồng'
 where   employee_code='VM192';</v>
      </c>
    </row>
    <row r="37" spans="1:21" s="19" customFormat="1" ht="18" customHeight="1">
      <c r="A37" s="8" t="s">
        <v>251</v>
      </c>
      <c r="B37" s="11" t="s">
        <v>252</v>
      </c>
      <c r="C37" s="10">
        <v>33563</v>
      </c>
      <c r="D37" s="12" t="s">
        <v>14</v>
      </c>
      <c r="E37" s="9" t="s">
        <v>253</v>
      </c>
      <c r="F37" s="9" t="s">
        <v>25</v>
      </c>
      <c r="G37" s="11" t="s">
        <v>248</v>
      </c>
      <c r="H37" s="22" t="s">
        <v>15</v>
      </c>
      <c r="I37" s="11" t="s">
        <v>845</v>
      </c>
      <c r="J37" s="9"/>
      <c r="K37" s="15"/>
      <c r="L37" s="21"/>
      <c r="M37" s="9"/>
      <c r="N37" s="15" t="s">
        <v>55</v>
      </c>
      <c r="O37" s="8" t="s">
        <v>254</v>
      </c>
      <c r="P37" s="9" t="s">
        <v>252</v>
      </c>
      <c r="Q37" s="16" t="s">
        <v>255</v>
      </c>
      <c r="R37" s="17">
        <v>44788</v>
      </c>
      <c r="S37" s="18" t="s">
        <v>58</v>
      </c>
      <c r="T37" s="19" t="str">
        <f t="shared" si="2"/>
        <v xml:space="preserve"> update person
  set  id_card_no = '079091029862'
 where  id = (select employee.id from employee where employee_code='VM103');</v>
      </c>
      <c r="U37" s="34" t="str">
        <f t="shared" si="1"/>
        <v>update employee
  set  print_name_e = 'Nguyễn La Ngọc Lâm',
       print_name_l = 'Nguyễn La Ngọc Lâm'
 where   employee_code='VM103';</v>
      </c>
    </row>
    <row r="38" spans="1:21" s="19" customFormat="1" ht="18" customHeight="1">
      <c r="A38" s="8" t="s">
        <v>256</v>
      </c>
      <c r="B38" s="11" t="s">
        <v>257</v>
      </c>
      <c r="C38" s="10">
        <v>29331</v>
      </c>
      <c r="D38" s="12" t="s">
        <v>14</v>
      </c>
      <c r="E38" s="9" t="s">
        <v>61</v>
      </c>
      <c r="F38" s="9" t="s">
        <v>258</v>
      </c>
      <c r="G38" s="11" t="s">
        <v>259</v>
      </c>
      <c r="H38" s="22" t="s">
        <v>22</v>
      </c>
      <c r="I38" s="11" t="s">
        <v>63</v>
      </c>
      <c r="J38" s="9"/>
      <c r="K38" s="15"/>
      <c r="L38" s="21"/>
      <c r="M38" s="9"/>
      <c r="N38" s="15" t="s">
        <v>55</v>
      </c>
      <c r="O38" s="8" t="s">
        <v>260</v>
      </c>
      <c r="P38" s="9" t="s">
        <v>257</v>
      </c>
      <c r="Q38" s="16" t="s">
        <v>261</v>
      </c>
      <c r="R38" s="17">
        <v>44848</v>
      </c>
      <c r="S38" s="18" t="s">
        <v>58</v>
      </c>
      <c r="T38" s="19" t="str">
        <f t="shared" si="2"/>
        <v xml:space="preserve"> update person
  set  id_card_no = '083080005904'
 where  id = (select employee.id from employee where employee_code='VM007');</v>
      </c>
      <c r="U38" s="34" t="str">
        <f t="shared" si="1"/>
        <v>update employee
  set  print_name_e = 'Trần Quốc Cường',
       print_name_l = 'Trần Quốc Cường'
 where   employee_code='VM007';</v>
      </c>
    </row>
    <row r="39" spans="1:21" s="19" customFormat="1" ht="18" customHeight="1">
      <c r="A39" s="8" t="s">
        <v>262</v>
      </c>
      <c r="B39" s="11" t="s">
        <v>263</v>
      </c>
      <c r="C39" s="10">
        <v>32138</v>
      </c>
      <c r="D39" s="12" t="s">
        <v>16</v>
      </c>
      <c r="E39" s="9" t="s">
        <v>264</v>
      </c>
      <c r="F39" s="9" t="s">
        <v>258</v>
      </c>
      <c r="G39" s="11" t="s">
        <v>265</v>
      </c>
      <c r="H39" s="22" t="s">
        <v>15</v>
      </c>
      <c r="I39" s="11" t="s">
        <v>63</v>
      </c>
      <c r="J39" s="9"/>
      <c r="K39" s="15"/>
      <c r="L39" s="21"/>
      <c r="M39" s="9"/>
      <c r="N39" s="15" t="s">
        <v>55</v>
      </c>
      <c r="O39" s="8" t="s">
        <v>266</v>
      </c>
      <c r="P39" s="9" t="s">
        <v>263</v>
      </c>
      <c r="Q39" s="16" t="s">
        <v>267</v>
      </c>
      <c r="R39" s="17">
        <v>44326</v>
      </c>
      <c r="S39" s="18" t="s">
        <v>58</v>
      </c>
      <c r="T39" s="19" t="str">
        <f t="shared" si="2"/>
        <v xml:space="preserve"> update person
  set  id_card_no = '083187000289'
 where  id = (select employee.id from employee where employee_code='VM118');</v>
      </c>
      <c r="U39" s="34" t="str">
        <f t="shared" si="1"/>
        <v>update employee
  set  print_name_e = 'Phan Thị Đào',
       print_name_l = 'Phan Thị Đào'
 where   employee_code='VM118';</v>
      </c>
    </row>
    <row r="40" spans="1:21" s="19" customFormat="1" ht="18" customHeight="1">
      <c r="A40" s="8" t="s">
        <v>268</v>
      </c>
      <c r="B40" s="9" t="s">
        <v>269</v>
      </c>
      <c r="C40" s="10">
        <v>37575</v>
      </c>
      <c r="D40" s="8" t="s">
        <v>16</v>
      </c>
      <c r="E40" s="9" t="s">
        <v>270</v>
      </c>
      <c r="F40" s="9" t="s">
        <v>258</v>
      </c>
      <c r="G40" s="11" t="s">
        <v>271</v>
      </c>
      <c r="H40" s="22" t="s">
        <v>15</v>
      </c>
      <c r="I40" s="11" t="s">
        <v>63</v>
      </c>
      <c r="J40" s="9"/>
      <c r="K40" s="15"/>
      <c r="L40" s="21"/>
      <c r="M40" s="9"/>
      <c r="N40" s="15" t="s">
        <v>55</v>
      </c>
      <c r="O40" s="8" t="s">
        <v>272</v>
      </c>
      <c r="P40" s="9" t="s">
        <v>269</v>
      </c>
      <c r="Q40" s="16" t="s">
        <v>273</v>
      </c>
      <c r="R40" s="17">
        <v>44800</v>
      </c>
      <c r="S40" s="18" t="s">
        <v>58</v>
      </c>
      <c r="T40" s="19" t="str">
        <f t="shared" si="2"/>
        <v xml:space="preserve"> update person
  set  id_card_no = '010302006467'
 where  id = (select employee.id from employee where employee_code='VM021');</v>
      </c>
      <c r="U40" s="34" t="str">
        <f t="shared" si="1"/>
        <v>update employee
  set  print_name_e = 'Bùi Phương Thảo',
       print_name_l = 'Bùi Phương Thảo'
 where   employee_code='VM021';</v>
      </c>
    </row>
    <row r="41" spans="1:21" s="19" customFormat="1" ht="18" customHeight="1">
      <c r="A41" s="8" t="s">
        <v>274</v>
      </c>
      <c r="B41" s="9" t="s">
        <v>275</v>
      </c>
      <c r="C41" s="10">
        <v>30990</v>
      </c>
      <c r="D41" s="8" t="s">
        <v>16</v>
      </c>
      <c r="E41" s="9" t="s">
        <v>276</v>
      </c>
      <c r="F41" s="9" t="s">
        <v>258</v>
      </c>
      <c r="G41" s="11" t="s">
        <v>277</v>
      </c>
      <c r="H41" s="22" t="s">
        <v>15</v>
      </c>
      <c r="I41" s="11" t="s">
        <v>63</v>
      </c>
      <c r="J41" s="9"/>
      <c r="K41" s="15"/>
      <c r="L41" s="21"/>
      <c r="M41" s="9"/>
      <c r="N41" s="15" t="s">
        <v>55</v>
      </c>
      <c r="O41" s="8" t="s">
        <v>278</v>
      </c>
      <c r="P41" s="9" t="s">
        <v>275</v>
      </c>
      <c r="Q41" s="16" t="s">
        <v>279</v>
      </c>
      <c r="R41" s="17">
        <v>44941</v>
      </c>
      <c r="S41" s="18" t="s">
        <v>58</v>
      </c>
      <c r="T41" s="19" t="str">
        <f t="shared" si="2"/>
        <v xml:space="preserve"> update person
  set  id_card_no = '040184015052'
 where  id = (select employee.id from employee where employee_code='VM016');</v>
      </c>
      <c r="U41" s="34" t="str">
        <f t="shared" si="1"/>
        <v>update employee
  set  print_name_e = 'Lê Như Ngọc',
       print_name_l = 'Lê Như Ngọc'
 where   employee_code='VM016';</v>
      </c>
    </row>
    <row r="42" spans="1:21" s="19" customFormat="1" ht="18" customHeight="1">
      <c r="A42" s="8" t="s">
        <v>280</v>
      </c>
      <c r="B42" s="9" t="s">
        <v>281</v>
      </c>
      <c r="C42" s="10" t="s">
        <v>282</v>
      </c>
      <c r="D42" s="8" t="s">
        <v>16</v>
      </c>
      <c r="E42" s="9" t="s">
        <v>178</v>
      </c>
      <c r="F42" s="9" t="s">
        <v>258</v>
      </c>
      <c r="G42" s="11" t="s">
        <v>283</v>
      </c>
      <c r="H42" s="22" t="s">
        <v>15</v>
      </c>
      <c r="I42" s="11" t="s">
        <v>63</v>
      </c>
      <c r="J42" s="9"/>
      <c r="K42" s="15"/>
      <c r="L42" s="21"/>
      <c r="M42" s="9"/>
      <c r="N42" s="15" t="s">
        <v>55</v>
      </c>
      <c r="O42" s="8" t="s">
        <v>284</v>
      </c>
      <c r="P42" s="9" t="s">
        <v>281</v>
      </c>
      <c r="Q42" s="16" t="s">
        <v>285</v>
      </c>
      <c r="R42" s="17" t="s">
        <v>286</v>
      </c>
      <c r="S42" s="18" t="s">
        <v>48</v>
      </c>
      <c r="T42" s="19" t="str">
        <f t="shared" si="2"/>
        <v xml:space="preserve"> update person
  set  id_card_no = '034300010334'
 where  id = (select employee.id from employee where employee_code='VM175');</v>
      </c>
      <c r="U42" s="34" t="str">
        <f t="shared" si="1"/>
        <v>update employee
  set  print_name_e = 'Thái Thị Thanh Thùy',
       print_name_l = 'Thái Thị Thanh Thùy'
 where   employee_code='VM175';</v>
      </c>
    </row>
    <row r="43" spans="1:21" s="19" customFormat="1" ht="18" customHeight="1">
      <c r="A43" s="8" t="s">
        <v>287</v>
      </c>
      <c r="B43" s="9" t="s">
        <v>288</v>
      </c>
      <c r="C43" s="10">
        <v>32465</v>
      </c>
      <c r="D43" s="8" t="s">
        <v>16</v>
      </c>
      <c r="E43" s="9" t="s">
        <v>289</v>
      </c>
      <c r="F43" s="9" t="s">
        <v>258</v>
      </c>
      <c r="G43" s="11" t="s">
        <v>290</v>
      </c>
      <c r="H43" s="22" t="s">
        <v>15</v>
      </c>
      <c r="I43" s="11" t="s">
        <v>845</v>
      </c>
      <c r="J43" s="9"/>
      <c r="K43" s="15"/>
      <c r="L43" s="21"/>
      <c r="M43" s="9"/>
      <c r="N43" s="15" t="s">
        <v>55</v>
      </c>
      <c r="O43" s="8" t="s">
        <v>291</v>
      </c>
      <c r="P43" s="9" t="s">
        <v>288</v>
      </c>
      <c r="Q43" s="16" t="s">
        <v>292</v>
      </c>
      <c r="R43" s="17">
        <v>44387</v>
      </c>
      <c r="S43" s="18" t="s">
        <v>58</v>
      </c>
      <c r="T43" s="19" t="str">
        <f t="shared" si="2"/>
        <v xml:space="preserve"> update person
  set  id_card_no = '096188010853'
 where  id = (select employee.id from employee where employee_code='VM014');</v>
      </c>
      <c r="U43" s="34" t="str">
        <f t="shared" si="1"/>
        <v>update employee
  set  print_name_e = 'Tôn Nữ Thị Ngọc Anh',
       print_name_l = 'Tôn Nữ Thị Ngọc Anh'
 where   employee_code='VM014';</v>
      </c>
    </row>
    <row r="44" spans="1:21" s="19" customFormat="1" ht="18" customHeight="1">
      <c r="A44" s="8" t="s">
        <v>293</v>
      </c>
      <c r="B44" s="9" t="s">
        <v>294</v>
      </c>
      <c r="C44" s="10">
        <v>37260</v>
      </c>
      <c r="D44" s="8" t="s">
        <v>16</v>
      </c>
      <c r="E44" s="9" t="s">
        <v>295</v>
      </c>
      <c r="F44" s="9" t="s">
        <v>258</v>
      </c>
      <c r="G44" s="11" t="s">
        <v>290</v>
      </c>
      <c r="H44" s="22" t="s">
        <v>15</v>
      </c>
      <c r="I44" s="11" t="s">
        <v>63</v>
      </c>
      <c r="J44" s="9"/>
      <c r="K44" s="15"/>
      <c r="L44" s="21"/>
      <c r="M44" s="9"/>
      <c r="N44" s="15" t="s">
        <v>55</v>
      </c>
      <c r="O44" s="8" t="s">
        <v>296</v>
      </c>
      <c r="P44" s="9" t="s">
        <v>294</v>
      </c>
      <c r="Q44" s="16" t="s">
        <v>297</v>
      </c>
      <c r="R44" s="17">
        <v>44599</v>
      </c>
      <c r="S44" s="18" t="s">
        <v>58</v>
      </c>
      <c r="T44" s="19" t="str">
        <f t="shared" si="2"/>
        <v xml:space="preserve"> update person
  set  id_card_no = '064302007898'
 where  id = (select employee.id from employee where employee_code='VM048');</v>
      </c>
      <c r="U44" s="34" t="str">
        <f t="shared" si="1"/>
        <v>update employee
  set  print_name_e = 'Huỳnh Thị Tiền Giang',
       print_name_l = 'Huỳnh Thị Tiền Giang'
 where   employee_code='VM048';</v>
      </c>
    </row>
    <row r="45" spans="1:21" s="19" customFormat="1" ht="18" customHeight="1">
      <c r="A45" s="8" t="s">
        <v>298</v>
      </c>
      <c r="B45" s="9" t="s">
        <v>299</v>
      </c>
      <c r="C45" s="10">
        <v>37539</v>
      </c>
      <c r="D45" s="8" t="s">
        <v>16</v>
      </c>
      <c r="E45" s="9" t="s">
        <v>191</v>
      </c>
      <c r="F45" s="9" t="s">
        <v>258</v>
      </c>
      <c r="G45" s="11" t="s">
        <v>290</v>
      </c>
      <c r="H45" s="22" t="s">
        <v>15</v>
      </c>
      <c r="I45" s="11" t="s">
        <v>63</v>
      </c>
      <c r="J45" s="9"/>
      <c r="K45" s="15"/>
      <c r="L45" s="21"/>
      <c r="M45" s="9"/>
      <c r="N45" s="15" t="s">
        <v>55</v>
      </c>
      <c r="O45" s="8" t="s">
        <v>300</v>
      </c>
      <c r="P45" s="9" t="s">
        <v>299</v>
      </c>
      <c r="Q45" s="16" t="s">
        <v>301</v>
      </c>
      <c r="R45" s="17">
        <v>44326</v>
      </c>
      <c r="S45" s="18" t="s">
        <v>58</v>
      </c>
      <c r="T45" s="19" t="str">
        <f t="shared" si="2"/>
        <v xml:space="preserve"> update person
  set  id_card_no = '086302003754'
 where  id = (select employee.id from employee where employee_code='VM030');</v>
      </c>
      <c r="U45" s="34" t="str">
        <f t="shared" si="1"/>
        <v>update employee
  set  print_name_e = 'Đinh Thị Mỹ Hoa',
       print_name_l = 'Đinh Thị Mỹ Hoa'
 where   employee_code='VM030';</v>
      </c>
    </row>
    <row r="46" spans="1:21" s="19" customFormat="1" ht="18" customHeight="1">
      <c r="A46" s="8" t="s">
        <v>302</v>
      </c>
      <c r="B46" s="9" t="s">
        <v>303</v>
      </c>
      <c r="C46" s="10">
        <v>34928</v>
      </c>
      <c r="D46" s="8" t="s">
        <v>16</v>
      </c>
      <c r="E46" s="9" t="s">
        <v>304</v>
      </c>
      <c r="F46" s="9" t="s">
        <v>258</v>
      </c>
      <c r="G46" s="11" t="s">
        <v>290</v>
      </c>
      <c r="H46" s="22" t="s">
        <v>15</v>
      </c>
      <c r="I46" s="11" t="s">
        <v>63</v>
      </c>
      <c r="J46" s="9"/>
      <c r="K46" s="15"/>
      <c r="L46" s="21"/>
      <c r="M46" s="9"/>
      <c r="N46" s="15" t="s">
        <v>55</v>
      </c>
      <c r="O46" s="8" t="s">
        <v>305</v>
      </c>
      <c r="P46" s="9" t="s">
        <v>303</v>
      </c>
      <c r="Q46" s="16" t="s">
        <v>306</v>
      </c>
      <c r="R46" s="17">
        <v>44551</v>
      </c>
      <c r="S46" s="18" t="s">
        <v>58</v>
      </c>
      <c r="T46" s="19" t="str">
        <f t="shared" si="2"/>
        <v xml:space="preserve"> update person
  set  id_card_no = '082195014482'
 where  id = (select employee.id from employee where employee_code='VM055');</v>
      </c>
      <c r="U46" s="34" t="str">
        <f t="shared" si="1"/>
        <v>update employee
  set  print_name_e = 'Nguyễn Thị Cẩm Hằng',
       print_name_l = 'Nguyễn Thị Cẩm Hằng'
 where   employee_code='VM055';</v>
      </c>
    </row>
    <row r="47" spans="1:21" s="19" customFormat="1" ht="18" customHeight="1">
      <c r="A47" s="8" t="s">
        <v>307</v>
      </c>
      <c r="B47" s="9" t="s">
        <v>41</v>
      </c>
      <c r="C47" s="10">
        <v>36991</v>
      </c>
      <c r="D47" s="8" t="s">
        <v>16</v>
      </c>
      <c r="E47" s="9" t="s">
        <v>308</v>
      </c>
      <c r="F47" s="9" t="s">
        <v>258</v>
      </c>
      <c r="G47" s="11" t="s">
        <v>290</v>
      </c>
      <c r="H47" s="22" t="s">
        <v>15</v>
      </c>
      <c r="I47" s="11" t="s">
        <v>63</v>
      </c>
      <c r="J47" s="9"/>
      <c r="K47" s="15"/>
      <c r="L47" s="21"/>
      <c r="M47" s="9"/>
      <c r="N47" s="15" t="s">
        <v>55</v>
      </c>
      <c r="O47" s="8" t="s">
        <v>309</v>
      </c>
      <c r="P47" s="9" t="s">
        <v>41</v>
      </c>
      <c r="Q47" s="16" t="s">
        <v>310</v>
      </c>
      <c r="R47" s="17">
        <v>44740</v>
      </c>
      <c r="S47" s="18" t="s">
        <v>58</v>
      </c>
      <c r="T47" s="19" t="str">
        <f t="shared" si="2"/>
        <v xml:space="preserve"> update person
  set  id_card_no = '089301020952'
 where  id = (select employee.id from employee where employee_code='VM056');</v>
      </c>
      <c r="U47" s="34" t="str">
        <f t="shared" si="1"/>
        <v>update employee
  set  print_name_e = 'Trần Thị Ngọc Phụng',
       print_name_l = 'Trần Thị Ngọc Phụng'
 where   employee_code='VM056';</v>
      </c>
    </row>
    <row r="48" spans="1:21" s="19" customFormat="1" ht="18" customHeight="1">
      <c r="A48" s="8" t="s">
        <v>311</v>
      </c>
      <c r="B48" s="9" t="s">
        <v>312</v>
      </c>
      <c r="C48" s="10">
        <v>33095</v>
      </c>
      <c r="D48" s="8" t="s">
        <v>16</v>
      </c>
      <c r="E48" s="9" t="s">
        <v>313</v>
      </c>
      <c r="F48" s="9" t="s">
        <v>258</v>
      </c>
      <c r="G48" s="11" t="s">
        <v>290</v>
      </c>
      <c r="H48" s="22" t="s">
        <v>15</v>
      </c>
      <c r="I48" s="11" t="s">
        <v>63</v>
      </c>
      <c r="J48" s="9"/>
      <c r="K48" s="15"/>
      <c r="L48" s="21"/>
      <c r="M48" s="9"/>
      <c r="N48" s="15" t="s">
        <v>55</v>
      </c>
      <c r="O48" s="8" t="s">
        <v>314</v>
      </c>
      <c r="P48" s="9" t="s">
        <v>315</v>
      </c>
      <c r="Q48" s="16" t="s">
        <v>316</v>
      </c>
      <c r="R48" s="17">
        <v>44584</v>
      </c>
      <c r="S48" s="18" t="s">
        <v>58</v>
      </c>
      <c r="T48" s="19" t="str">
        <f t="shared" si="2"/>
        <v xml:space="preserve"> update person
  set  id_card_no = '052190003864'
 where  id = (select employee.id from employee where employee_code='VM057');</v>
      </c>
      <c r="U48" s="34" t="str">
        <f t="shared" si="1"/>
        <v>update employee
  set  print_name_e = 'Hồ Đồ Quỳnh My',
       print_name_l = 'Hồ Đồ Quỳnh My'
 where   employee_code='VM057';</v>
      </c>
    </row>
    <row r="49" spans="1:21" s="19" customFormat="1" ht="18" customHeight="1">
      <c r="A49" s="8" t="s">
        <v>317</v>
      </c>
      <c r="B49" s="9" t="s">
        <v>318</v>
      </c>
      <c r="C49" s="10">
        <v>37969</v>
      </c>
      <c r="D49" s="8" t="s">
        <v>16</v>
      </c>
      <c r="E49" s="9" t="s">
        <v>319</v>
      </c>
      <c r="F49" s="9" t="s">
        <v>258</v>
      </c>
      <c r="G49" s="11" t="s">
        <v>290</v>
      </c>
      <c r="H49" s="22" t="s">
        <v>15</v>
      </c>
      <c r="I49" s="11" t="s">
        <v>63</v>
      </c>
      <c r="J49" s="9"/>
      <c r="K49" s="15"/>
      <c r="L49" s="21"/>
      <c r="M49" s="9"/>
      <c r="N49" s="15" t="s">
        <v>55</v>
      </c>
      <c r="O49" s="8" t="s">
        <v>320</v>
      </c>
      <c r="P49" s="9" t="s">
        <v>318</v>
      </c>
      <c r="Q49" s="16" t="s">
        <v>321</v>
      </c>
      <c r="R49" s="17">
        <v>44314</v>
      </c>
      <c r="S49" s="23" t="s">
        <v>58</v>
      </c>
      <c r="T49" s="19" t="str">
        <f t="shared" si="2"/>
        <v xml:space="preserve"> update person
  set  id_card_no = '051303004179'
 where  id = (select employee.id from employee where employee_code='VM183');</v>
      </c>
      <c r="U49" s="34" t="str">
        <f t="shared" si="1"/>
        <v>update employee
  set  print_name_e = 'Tôn Thị Tuyền',
       print_name_l = 'Tôn Thị Tuyền'
 where   employee_code='VM183';</v>
      </c>
    </row>
    <row r="50" spans="1:21" s="19" customFormat="1" ht="18" customHeight="1">
      <c r="A50" s="8" t="s">
        <v>322</v>
      </c>
      <c r="B50" s="9" t="s">
        <v>323</v>
      </c>
      <c r="C50" s="10">
        <v>33584</v>
      </c>
      <c r="D50" s="8" t="s">
        <v>14</v>
      </c>
      <c r="E50" s="9" t="s">
        <v>324</v>
      </c>
      <c r="F50" s="9" t="s">
        <v>258</v>
      </c>
      <c r="G50" s="11" t="s">
        <v>325</v>
      </c>
      <c r="H50" s="22" t="s">
        <v>15</v>
      </c>
      <c r="I50" s="11" t="s">
        <v>961</v>
      </c>
      <c r="J50" s="9"/>
      <c r="K50" s="15"/>
      <c r="L50" s="21"/>
      <c r="M50" s="9"/>
      <c r="N50" s="15" t="s">
        <v>55</v>
      </c>
      <c r="O50" s="8" t="s">
        <v>326</v>
      </c>
      <c r="P50" s="9" t="s">
        <v>323</v>
      </c>
      <c r="Q50" s="16" t="s">
        <v>327</v>
      </c>
      <c r="R50" s="17">
        <v>44317</v>
      </c>
      <c r="S50" s="18" t="s">
        <v>58</v>
      </c>
      <c r="T50" s="19" t="str">
        <f t="shared" si="2"/>
        <v xml:space="preserve"> update person
  set  id_card_no = '079091022639'
 where  id = (select employee.id from employee where employee_code='VM054');</v>
      </c>
      <c r="U50" s="34" t="str">
        <f t="shared" si="1"/>
        <v>update employee
  set  print_name_e = 'Hồ Quốc Vinh',
       print_name_l = 'Hồ Quốc Vinh'
 where   employee_code='VM054';</v>
      </c>
    </row>
    <row r="51" spans="1:21" s="19" customFormat="1" ht="18" customHeight="1">
      <c r="A51" s="8" t="s">
        <v>328</v>
      </c>
      <c r="B51" s="9" t="s">
        <v>329</v>
      </c>
      <c r="C51" s="10">
        <v>34151</v>
      </c>
      <c r="D51" s="8" t="s">
        <v>14</v>
      </c>
      <c r="E51" s="9" t="s">
        <v>330</v>
      </c>
      <c r="F51" s="9" t="s">
        <v>258</v>
      </c>
      <c r="G51" s="11" t="s">
        <v>325</v>
      </c>
      <c r="H51" s="22" t="s">
        <v>15</v>
      </c>
      <c r="I51" s="11" t="s">
        <v>63</v>
      </c>
      <c r="J51" s="9"/>
      <c r="K51" s="15"/>
      <c r="L51" s="21"/>
      <c r="M51" s="9"/>
      <c r="N51" s="15" t="s">
        <v>55</v>
      </c>
      <c r="O51" s="8" t="s">
        <v>331</v>
      </c>
      <c r="P51" s="9" t="s">
        <v>329</v>
      </c>
      <c r="Q51" s="16" t="s">
        <v>332</v>
      </c>
      <c r="R51" s="17">
        <v>45007</v>
      </c>
      <c r="S51" s="18" t="s">
        <v>58</v>
      </c>
      <c r="T51" s="19" t="str">
        <f t="shared" si="2"/>
        <v xml:space="preserve"> update person
  set  id_card_no = '052093002494'
 where  id = (select employee.id from employee where employee_code='VM214');</v>
      </c>
      <c r="U51" s="34" t="str">
        <f t="shared" si="1"/>
        <v>update employee
  set  print_name_e = 'Nguyễn Trung Quảng',
       print_name_l = 'Nguyễn Trung Quảng'
 where   employee_code='VM214';</v>
      </c>
    </row>
    <row r="52" spans="1:21" s="19" customFormat="1" ht="18" customHeight="1">
      <c r="A52" s="8" t="s">
        <v>333</v>
      </c>
      <c r="B52" s="9" t="s">
        <v>334</v>
      </c>
      <c r="C52" s="10">
        <v>32059</v>
      </c>
      <c r="D52" s="8" t="s">
        <v>16</v>
      </c>
      <c r="E52" s="9" t="s">
        <v>335</v>
      </c>
      <c r="F52" s="9" t="s">
        <v>258</v>
      </c>
      <c r="G52" s="11" t="s">
        <v>283</v>
      </c>
      <c r="H52" s="22" t="s">
        <v>15</v>
      </c>
      <c r="I52" s="11" t="s">
        <v>845</v>
      </c>
      <c r="J52" s="8"/>
      <c r="K52" s="13"/>
      <c r="L52" s="14"/>
      <c r="M52" s="9"/>
      <c r="N52" s="15" t="s">
        <v>55</v>
      </c>
      <c r="O52" s="8" t="s">
        <v>336</v>
      </c>
      <c r="P52" s="9" t="s">
        <v>334</v>
      </c>
      <c r="Q52" s="16" t="s">
        <v>337</v>
      </c>
      <c r="R52" s="17">
        <v>44529</v>
      </c>
      <c r="S52" s="18" t="s">
        <v>58</v>
      </c>
      <c r="T52" s="19" t="str">
        <f t="shared" si="2"/>
        <v xml:space="preserve"> update person
  set  id_card_no = '079187011041'
 where  id = (select employee.id from employee where employee_code='VM230');</v>
      </c>
      <c r="U52" s="34" t="str">
        <f t="shared" si="1"/>
        <v>update employee
  set  print_name_e = 'Nguyễn Hoàng Quỳnh Như',
       print_name_l = 'Nguyễn Hoàng Quỳnh Như'
 where   employee_code='VM230';</v>
      </c>
    </row>
    <row r="53" spans="1:21" s="19" customFormat="1" ht="18" customHeight="1">
      <c r="A53" s="8" t="s">
        <v>338</v>
      </c>
      <c r="B53" s="9" t="s">
        <v>339</v>
      </c>
      <c r="C53" s="10">
        <v>34933</v>
      </c>
      <c r="D53" s="8" t="s">
        <v>16</v>
      </c>
      <c r="E53" s="9" t="s">
        <v>340</v>
      </c>
      <c r="F53" s="9" t="s">
        <v>258</v>
      </c>
      <c r="G53" s="11" t="s">
        <v>341</v>
      </c>
      <c r="H53" s="22" t="s">
        <v>15</v>
      </c>
      <c r="I53" s="11" t="s">
        <v>63</v>
      </c>
      <c r="J53" s="9"/>
      <c r="K53" s="15"/>
      <c r="L53" s="21"/>
      <c r="M53" s="9"/>
      <c r="N53" s="15" t="s">
        <v>55</v>
      </c>
      <c r="O53" s="8" t="s">
        <v>342</v>
      </c>
      <c r="P53" s="9" t="s">
        <v>339</v>
      </c>
      <c r="Q53" s="16" t="s">
        <v>343</v>
      </c>
      <c r="R53" s="17">
        <v>45060</v>
      </c>
      <c r="S53" s="18" t="s">
        <v>58</v>
      </c>
      <c r="T53" s="19" t="str">
        <f t="shared" si="2"/>
        <v xml:space="preserve"> update person
  set  id_card_no = '052195007346'
 where  id = (select employee.id from employee where employee_code='VM223');</v>
      </c>
      <c r="U53" s="34" t="str">
        <f t="shared" si="1"/>
        <v>update employee
  set  print_name_e = 'Phan Thị Thu Hương',
       print_name_l = 'Phan Thị Thu Hương'
 where   employee_code='VM223';</v>
      </c>
    </row>
    <row r="54" spans="1:21" s="19" customFormat="1" ht="18" customHeight="1">
      <c r="A54" s="8" t="s">
        <v>344</v>
      </c>
      <c r="B54" s="9" t="s">
        <v>345</v>
      </c>
      <c r="C54" s="10">
        <v>32113</v>
      </c>
      <c r="D54" s="8" t="s">
        <v>16</v>
      </c>
      <c r="E54" s="9" t="s">
        <v>346</v>
      </c>
      <c r="F54" s="9" t="s">
        <v>258</v>
      </c>
      <c r="G54" s="11" t="s">
        <v>271</v>
      </c>
      <c r="H54" s="22" t="s">
        <v>15</v>
      </c>
      <c r="I54" s="11" t="s">
        <v>63</v>
      </c>
      <c r="J54" s="9"/>
      <c r="K54" s="15"/>
      <c r="L54" s="21"/>
      <c r="M54" s="9"/>
      <c r="N54" s="15" t="s">
        <v>55</v>
      </c>
      <c r="O54" s="8" t="s">
        <v>347</v>
      </c>
      <c r="P54" s="9" t="s">
        <v>345</v>
      </c>
      <c r="Q54" s="16" t="s">
        <v>348</v>
      </c>
      <c r="R54" s="17">
        <v>44529</v>
      </c>
      <c r="S54" s="18" t="s">
        <v>58</v>
      </c>
      <c r="T54" s="19" t="str">
        <f t="shared" si="2"/>
        <v xml:space="preserve"> update person
  set  id_card_no = '079187013257'
 where  id = (select employee.id from employee where employee_code='VM255');</v>
      </c>
      <c r="U54" s="34" t="str">
        <f t="shared" si="1"/>
        <v>update employee
  set  print_name_e = 'Nhiêu Kim Hiền',
       print_name_l = 'Nhiêu Kim Hiền'
 where   employee_code='VM255';</v>
      </c>
    </row>
    <row r="55" spans="1:21" s="19" customFormat="1" ht="18" customHeight="1">
      <c r="A55" s="8" t="s">
        <v>349</v>
      </c>
      <c r="B55" s="9" t="s">
        <v>350</v>
      </c>
      <c r="C55" s="10">
        <v>33273</v>
      </c>
      <c r="D55" s="8" t="s">
        <v>16</v>
      </c>
      <c r="E55" s="9" t="s">
        <v>351</v>
      </c>
      <c r="F55" s="9" t="s">
        <v>352</v>
      </c>
      <c r="G55" s="11" t="s">
        <v>353</v>
      </c>
      <c r="H55" s="22" t="s">
        <v>15</v>
      </c>
      <c r="I55" s="11" t="s">
        <v>845</v>
      </c>
      <c r="J55" s="9"/>
      <c r="K55" s="15"/>
      <c r="L55" s="21"/>
      <c r="M55" s="9"/>
      <c r="N55" s="15" t="s">
        <v>55</v>
      </c>
      <c r="O55" s="8" t="s">
        <v>354</v>
      </c>
      <c r="P55" s="9" t="s">
        <v>350</v>
      </c>
      <c r="Q55" s="16" t="s">
        <v>355</v>
      </c>
      <c r="R55" s="17">
        <v>44941</v>
      </c>
      <c r="S55" s="18" t="s">
        <v>58</v>
      </c>
      <c r="T55" s="19" t="str">
        <f t="shared" si="2"/>
        <v xml:space="preserve"> update person
  set  id_card_no = '052191009733'
 where  id = (select employee.id from employee where employee_code='VM047');</v>
      </c>
      <c r="U55" s="34" t="str">
        <f t="shared" si="1"/>
        <v>update employee
  set  print_name_e = 'Trần Thị Hồng Ngọc',
       print_name_l = 'Trần Thị Hồng Ngọc'
 where   employee_code='VM047';</v>
      </c>
    </row>
    <row r="56" spans="1:21" s="19" customFormat="1" ht="18" customHeight="1">
      <c r="A56" s="8" t="s">
        <v>356</v>
      </c>
      <c r="B56" s="9" t="s">
        <v>357</v>
      </c>
      <c r="C56" s="10">
        <v>33581</v>
      </c>
      <c r="D56" s="8" t="s">
        <v>16</v>
      </c>
      <c r="E56" s="9" t="s">
        <v>358</v>
      </c>
      <c r="F56" s="9" t="s">
        <v>352</v>
      </c>
      <c r="G56" s="11" t="s">
        <v>359</v>
      </c>
      <c r="H56" s="22" t="s">
        <v>15</v>
      </c>
      <c r="I56" s="11" t="s">
        <v>845</v>
      </c>
      <c r="J56" s="9"/>
      <c r="K56" s="15"/>
      <c r="L56" s="21"/>
      <c r="M56" s="9"/>
      <c r="N56" s="15" t="s">
        <v>55</v>
      </c>
      <c r="O56" s="8" t="s">
        <v>360</v>
      </c>
      <c r="P56" s="9" t="s">
        <v>357</v>
      </c>
      <c r="Q56" s="16" t="s">
        <v>361</v>
      </c>
      <c r="R56" s="17">
        <v>44941</v>
      </c>
      <c r="S56" s="18" t="s">
        <v>58</v>
      </c>
      <c r="T56" s="19" t="str">
        <f t="shared" si="2"/>
        <v xml:space="preserve"> update person
  set  id_card_no = '079191030246'
 where  id = (select employee.id from employee where employee_code='VM059');</v>
      </c>
      <c r="U56" s="34" t="str">
        <f t="shared" si="1"/>
        <v>update employee
  set  print_name_e = 'Phùng Nhật Linh',
       print_name_l = 'Phùng Nhật Linh'
 where   employee_code='VM059';</v>
      </c>
    </row>
    <row r="57" spans="1:21" s="19" customFormat="1" ht="18" customHeight="1">
      <c r="A57" s="8" t="s">
        <v>362</v>
      </c>
      <c r="B57" s="9" t="s">
        <v>363</v>
      </c>
      <c r="C57" s="10" t="s">
        <v>29</v>
      </c>
      <c r="D57" s="8" t="s">
        <v>14</v>
      </c>
      <c r="E57" s="9" t="s">
        <v>364</v>
      </c>
      <c r="F57" s="9" t="s">
        <v>352</v>
      </c>
      <c r="G57" s="11" t="s">
        <v>359</v>
      </c>
      <c r="H57" s="22" t="s">
        <v>15</v>
      </c>
      <c r="I57" s="11" t="s">
        <v>63</v>
      </c>
      <c r="J57" s="9"/>
      <c r="K57" s="15"/>
      <c r="L57" s="21"/>
      <c r="M57" s="9"/>
      <c r="N57" s="15" t="s">
        <v>55</v>
      </c>
      <c r="O57" s="8" t="s">
        <v>365</v>
      </c>
      <c r="P57" s="9" t="s">
        <v>363</v>
      </c>
      <c r="Q57" s="16" t="s">
        <v>366</v>
      </c>
      <c r="R57" s="17" t="s">
        <v>367</v>
      </c>
      <c r="S57" s="18" t="s">
        <v>58</v>
      </c>
      <c r="T57" s="19" t="str">
        <f t="shared" si="2"/>
        <v xml:space="preserve"> update person
  set  id_card_no = '079092016754'
 where  id = (select employee.id from employee where employee_code='VM160');</v>
      </c>
      <c r="U57" s="34" t="str">
        <f t="shared" si="1"/>
        <v>update employee
  set  print_name_e = 'Nguyễn Tuấn Ngọc',
       print_name_l = 'Nguyễn Tuấn Ngọc'
 where   employee_code='VM160';</v>
      </c>
    </row>
    <row r="58" spans="1:21" s="19" customFormat="1" ht="18" customHeight="1">
      <c r="A58" s="8" t="s">
        <v>368</v>
      </c>
      <c r="B58" s="9" t="s">
        <v>369</v>
      </c>
      <c r="C58" s="10" t="s">
        <v>370</v>
      </c>
      <c r="D58" s="8" t="s">
        <v>16</v>
      </c>
      <c r="E58" s="9" t="s">
        <v>371</v>
      </c>
      <c r="F58" s="9" t="s">
        <v>352</v>
      </c>
      <c r="G58" s="11" t="s">
        <v>372</v>
      </c>
      <c r="H58" s="22" t="s">
        <v>15</v>
      </c>
      <c r="I58" s="11" t="s">
        <v>63</v>
      </c>
      <c r="J58" s="9"/>
      <c r="K58" s="15"/>
      <c r="L58" s="21"/>
      <c r="M58" s="9"/>
      <c r="N58" s="15" t="s">
        <v>55</v>
      </c>
      <c r="O58" s="8" t="s">
        <v>373</v>
      </c>
      <c r="P58" s="9" t="s">
        <v>369</v>
      </c>
      <c r="Q58" s="16" t="s">
        <v>374</v>
      </c>
      <c r="R58" s="17">
        <v>45300</v>
      </c>
      <c r="S58" s="18" t="s">
        <v>58</v>
      </c>
      <c r="T58" s="19" t="str">
        <f t="shared" si="2"/>
        <v xml:space="preserve"> update person
  set  id_card_no = '079198019961'
 where  id = (select employee.id from employee where employee_code='VM174');</v>
      </c>
      <c r="U58" s="34" t="str">
        <f t="shared" si="1"/>
        <v>update employee
  set  print_name_e = 'Nguyễn Lương Lệ Tuyết Nhi',
       print_name_l = 'Nguyễn Lương Lệ Tuyết Nhi'
 where   employee_code='VM174';</v>
      </c>
    </row>
    <row r="59" spans="1:21" s="19" customFormat="1" ht="18" customHeight="1">
      <c r="A59" s="8" t="s">
        <v>375</v>
      </c>
      <c r="B59" s="9" t="s">
        <v>376</v>
      </c>
      <c r="C59" s="10">
        <v>30667</v>
      </c>
      <c r="D59" s="8" t="s">
        <v>16</v>
      </c>
      <c r="E59" s="9" t="s">
        <v>377</v>
      </c>
      <c r="F59" s="9" t="s">
        <v>24</v>
      </c>
      <c r="G59" s="11" t="s">
        <v>378</v>
      </c>
      <c r="H59" s="22" t="s">
        <v>379</v>
      </c>
      <c r="I59" s="11" t="s">
        <v>63</v>
      </c>
      <c r="J59" s="9"/>
      <c r="K59" s="15"/>
      <c r="L59" s="21"/>
      <c r="M59" s="9"/>
      <c r="N59" s="15" t="s">
        <v>55</v>
      </c>
      <c r="O59" s="8" t="s">
        <v>380</v>
      </c>
      <c r="P59" s="9" t="s">
        <v>376</v>
      </c>
      <c r="Q59" s="16" t="s">
        <v>381</v>
      </c>
      <c r="R59" s="17">
        <v>45341</v>
      </c>
      <c r="S59" s="18" t="s">
        <v>58</v>
      </c>
      <c r="T59" s="19" t="str">
        <f t="shared" si="2"/>
        <v xml:space="preserve"> update person
  set  id_card_no = '068183001333'
 where  id = (select employee.id from employee where employee_code='VM227');</v>
      </c>
      <c r="U59" s="34" t="str">
        <f t="shared" si="1"/>
        <v>update employee
  set  print_name_e = 'Lê Ngọc Quỳnh Anh',
       print_name_l = 'Lê Ngọc Quỳnh Anh'
 where   employee_code='VM227';</v>
      </c>
    </row>
    <row r="60" spans="1:21" s="19" customFormat="1" ht="18" customHeight="1">
      <c r="A60" s="8" t="s">
        <v>382</v>
      </c>
      <c r="B60" s="9" t="s">
        <v>35</v>
      </c>
      <c r="C60" s="10">
        <v>34209</v>
      </c>
      <c r="D60" s="8" t="s">
        <v>16</v>
      </c>
      <c r="E60" s="9" t="s">
        <v>383</v>
      </c>
      <c r="F60" s="9" t="s">
        <v>24</v>
      </c>
      <c r="G60" s="11" t="s">
        <v>384</v>
      </c>
      <c r="H60" s="22" t="s">
        <v>15</v>
      </c>
      <c r="I60" s="11" t="s">
        <v>63</v>
      </c>
      <c r="J60" s="9"/>
      <c r="K60" s="15"/>
      <c r="L60" s="21"/>
      <c r="M60" s="9"/>
      <c r="N60" s="15" t="s">
        <v>55</v>
      </c>
      <c r="O60" s="8" t="s">
        <v>385</v>
      </c>
      <c r="P60" s="9" t="s">
        <v>35</v>
      </c>
      <c r="Q60" s="16" t="s">
        <v>386</v>
      </c>
      <c r="R60" s="17">
        <v>44419</v>
      </c>
      <c r="S60" s="18" t="s">
        <v>58</v>
      </c>
      <c r="T60" s="19" t="str">
        <f t="shared" si="2"/>
        <v xml:space="preserve"> update person
  set  id_card_no = '091193007843'
 where  id = (select employee.id from employee where employee_code='VM018');</v>
      </c>
      <c r="U60" s="34" t="str">
        <f t="shared" si="1"/>
        <v>update employee
  set  print_name_e = 'Trần Thị Ngọc Hà',
       print_name_l = 'Trần Thị Ngọc Hà'
 where   employee_code='VM018';</v>
      </c>
    </row>
    <row r="61" spans="1:21" s="19" customFormat="1" ht="18" customHeight="1">
      <c r="A61" s="8" t="s">
        <v>387</v>
      </c>
      <c r="B61" s="9" t="s">
        <v>388</v>
      </c>
      <c r="C61" s="10">
        <v>34206</v>
      </c>
      <c r="D61" s="8" t="s">
        <v>16</v>
      </c>
      <c r="E61" s="9" t="s">
        <v>389</v>
      </c>
      <c r="F61" s="9" t="s">
        <v>24</v>
      </c>
      <c r="G61" s="11" t="s">
        <v>390</v>
      </c>
      <c r="H61" s="22" t="s">
        <v>15</v>
      </c>
      <c r="I61" s="11" t="s">
        <v>845</v>
      </c>
      <c r="J61" s="9"/>
      <c r="K61" s="15"/>
      <c r="L61" s="21"/>
      <c r="M61" s="9"/>
      <c r="N61" s="15" t="s">
        <v>55</v>
      </c>
      <c r="O61" s="8" t="s">
        <v>391</v>
      </c>
      <c r="P61" s="9" t="s">
        <v>388</v>
      </c>
      <c r="Q61" s="16" t="s">
        <v>392</v>
      </c>
      <c r="R61" s="17">
        <v>44988</v>
      </c>
      <c r="S61" s="18" t="s">
        <v>58</v>
      </c>
      <c r="T61" s="19" t="str">
        <f t="shared" si="2"/>
        <v xml:space="preserve"> update person
  set  id_card_no = '051193017637'
 where  id = (select employee.id from employee where employee_code='VM209');</v>
      </c>
      <c r="U61" s="34" t="str">
        <f t="shared" si="1"/>
        <v>update employee
  set  print_name_e = 'Nguyễn Ngọc Song Kiều',
       print_name_l = 'Nguyễn Ngọc Song Kiều'
 where   employee_code='VM209';</v>
      </c>
    </row>
    <row r="62" spans="1:21" s="19" customFormat="1" ht="18" customHeight="1">
      <c r="A62" s="8" t="s">
        <v>393</v>
      </c>
      <c r="B62" s="9" t="s">
        <v>394</v>
      </c>
      <c r="C62" s="10">
        <v>36550</v>
      </c>
      <c r="D62" s="8" t="s">
        <v>16</v>
      </c>
      <c r="E62" s="9" t="s">
        <v>395</v>
      </c>
      <c r="F62" s="9" t="s">
        <v>24</v>
      </c>
      <c r="G62" s="11" t="s">
        <v>396</v>
      </c>
      <c r="H62" s="22" t="s">
        <v>15</v>
      </c>
      <c r="I62" s="11" t="s">
        <v>63</v>
      </c>
      <c r="J62" s="9"/>
      <c r="K62" s="15"/>
      <c r="L62" s="21"/>
      <c r="M62" s="9"/>
      <c r="N62" s="15" t="s">
        <v>55</v>
      </c>
      <c r="O62" s="8" t="s">
        <v>397</v>
      </c>
      <c r="P62" s="9" t="s">
        <v>398</v>
      </c>
      <c r="Q62" s="16" t="s">
        <v>399</v>
      </c>
      <c r="R62" s="17">
        <v>45678</v>
      </c>
      <c r="S62" s="18" t="s">
        <v>58</v>
      </c>
      <c r="T62" s="19" t="str">
        <f t="shared" si="2"/>
        <v xml:space="preserve"> update person
  set  id_card_no = '068300007272'
 where  id = (select employee.id from employee where employee_code='VM024');</v>
      </c>
      <c r="U62" s="34" t="str">
        <f t="shared" si="1"/>
        <v>update employee
  set  print_name_e = 'Lê Mộng Điệp Thủy Tiên',
       print_name_l = 'Lê Mộng Điệp Thủy Tiên'
 where   employee_code='VM024';</v>
      </c>
    </row>
    <row r="63" spans="1:21" s="19" customFormat="1" ht="18" customHeight="1">
      <c r="A63" s="8" t="s">
        <v>400</v>
      </c>
      <c r="B63" s="9" t="s">
        <v>401</v>
      </c>
      <c r="C63" s="10">
        <v>31074</v>
      </c>
      <c r="D63" s="8" t="s">
        <v>14</v>
      </c>
      <c r="E63" s="9" t="s">
        <v>402</v>
      </c>
      <c r="F63" s="9" t="s">
        <v>24</v>
      </c>
      <c r="G63" s="11" t="s">
        <v>403</v>
      </c>
      <c r="H63" s="22" t="s">
        <v>15</v>
      </c>
      <c r="I63" s="11" t="s">
        <v>63</v>
      </c>
      <c r="J63" s="9" t="s">
        <v>404</v>
      </c>
      <c r="K63" s="15">
        <v>43045</v>
      </c>
      <c r="L63" s="21" t="s">
        <v>1068</v>
      </c>
      <c r="M63" s="9"/>
      <c r="N63" s="15" t="s">
        <v>55</v>
      </c>
      <c r="O63" s="8" t="s">
        <v>405</v>
      </c>
      <c r="P63" s="9" t="s">
        <v>401</v>
      </c>
      <c r="Q63" s="16" t="s">
        <v>406</v>
      </c>
      <c r="R63" s="17">
        <v>45692</v>
      </c>
      <c r="S63" s="18" t="s">
        <v>48</v>
      </c>
      <c r="T63" s="19" t="str">
        <f t="shared" si="2"/>
        <v xml:space="preserve"> update person
  set  id_card_no = '079085004988'
 where  id = (select employee.id from employee where employee_code='VM241');</v>
      </c>
      <c r="U63" s="34" t="str">
        <f t="shared" si="1"/>
        <v>update employee
  set  print_name_e = 'Nguyễn Sỹ Khôi',
       print_name_l = 'Nguyễn Sỹ Khôi'
 where   employee_code='VM241';</v>
      </c>
    </row>
    <row r="64" spans="1:21" s="19" customFormat="1" ht="18" customHeight="1">
      <c r="A64" s="8" t="s">
        <v>407</v>
      </c>
      <c r="B64" s="9" t="s">
        <v>408</v>
      </c>
      <c r="C64" s="10">
        <v>29913</v>
      </c>
      <c r="D64" s="8" t="s">
        <v>16</v>
      </c>
      <c r="E64" s="9" t="s">
        <v>364</v>
      </c>
      <c r="F64" s="9" t="s">
        <v>24</v>
      </c>
      <c r="G64" s="11" t="s">
        <v>409</v>
      </c>
      <c r="H64" s="22" t="s">
        <v>15</v>
      </c>
      <c r="I64" s="11" t="s">
        <v>63</v>
      </c>
      <c r="J64" s="9"/>
      <c r="K64" s="15"/>
      <c r="L64" s="21"/>
      <c r="M64" s="9"/>
      <c r="N64" s="15" t="s">
        <v>55</v>
      </c>
      <c r="O64" s="8" t="s">
        <v>410</v>
      </c>
      <c r="P64" s="9" t="s">
        <v>408</v>
      </c>
      <c r="Q64" s="16" t="s">
        <v>411</v>
      </c>
      <c r="R64" s="17">
        <v>45603</v>
      </c>
      <c r="S64" s="18" t="s">
        <v>48</v>
      </c>
      <c r="T64" s="19" t="str">
        <f t="shared" si="2"/>
        <v xml:space="preserve"> update person
  set  id_card_no = '034181017630'
 where  id = (select employee.id from employee where employee_code='VM244');</v>
      </c>
      <c r="U64" s="34" t="str">
        <f t="shared" si="1"/>
        <v>update employee
  set  print_name_e = 'Phạm Thị Tuyết Anh',
       print_name_l = 'Phạm Thị Tuyết Anh'
 where   employee_code='VM244';</v>
      </c>
    </row>
    <row r="65" spans="1:21" s="19" customFormat="1" ht="18" customHeight="1">
      <c r="A65" s="8" t="s">
        <v>412</v>
      </c>
      <c r="B65" s="9" t="s">
        <v>413</v>
      </c>
      <c r="C65" s="10">
        <v>33306</v>
      </c>
      <c r="D65" s="8" t="s">
        <v>14</v>
      </c>
      <c r="E65" s="9" t="s">
        <v>414</v>
      </c>
      <c r="F65" s="9" t="s">
        <v>24</v>
      </c>
      <c r="G65" s="11" t="s">
        <v>415</v>
      </c>
      <c r="H65" s="22" t="s">
        <v>15</v>
      </c>
      <c r="I65" s="11" t="s">
        <v>63</v>
      </c>
      <c r="J65" s="9"/>
      <c r="K65" s="15"/>
      <c r="L65" s="21"/>
      <c r="M65" s="9"/>
      <c r="N65" s="15" t="s">
        <v>55</v>
      </c>
      <c r="O65" s="8" t="s">
        <v>416</v>
      </c>
      <c r="P65" s="9" t="s">
        <v>413</v>
      </c>
      <c r="Q65" s="16" t="s">
        <v>417</v>
      </c>
      <c r="R65" s="17">
        <v>44838</v>
      </c>
      <c r="S65" s="18" t="s">
        <v>58</v>
      </c>
      <c r="T65" s="19" t="str">
        <f t="shared" si="2"/>
        <v xml:space="preserve"> update person
  set  id_card_no = '060091012682'
 where  id = (select employee.id from employee where employee_code='VM184');</v>
      </c>
      <c r="U65" s="34" t="str">
        <f t="shared" si="1"/>
        <v>update employee
  set  print_name_e = 'Trịnh Thanh Tâm',
       print_name_l = 'Trịnh Thanh Tâm'
 where   employee_code='VM184';</v>
      </c>
    </row>
    <row r="66" spans="1:21" s="19" customFormat="1" ht="18" customHeight="1">
      <c r="A66" s="8" t="s">
        <v>418</v>
      </c>
      <c r="B66" s="9" t="s">
        <v>419</v>
      </c>
      <c r="C66" s="10">
        <v>28846</v>
      </c>
      <c r="D66" s="8" t="s">
        <v>16</v>
      </c>
      <c r="E66" s="9" t="s">
        <v>420</v>
      </c>
      <c r="F66" s="9" t="s">
        <v>24</v>
      </c>
      <c r="G66" s="11" t="s">
        <v>421</v>
      </c>
      <c r="H66" s="22" t="s">
        <v>15</v>
      </c>
      <c r="I66" s="11" t="s">
        <v>1066</v>
      </c>
      <c r="J66" s="9" t="s">
        <v>422</v>
      </c>
      <c r="K66" s="15">
        <v>46055</v>
      </c>
      <c r="L66" s="21" t="s">
        <v>1068</v>
      </c>
      <c r="M66" s="9"/>
      <c r="N66" s="15" t="s">
        <v>55</v>
      </c>
      <c r="O66" s="8" t="s">
        <v>423</v>
      </c>
      <c r="P66" s="9" t="s">
        <v>419</v>
      </c>
      <c r="Q66" s="16" t="s">
        <v>424</v>
      </c>
      <c r="R66" s="17">
        <v>44850</v>
      </c>
      <c r="S66" s="18" t="s">
        <v>58</v>
      </c>
      <c r="T66" s="19" t="str">
        <f t="shared" si="2"/>
        <v xml:space="preserve"> update person
  set  id_card_no = '025178000886'
 where  id = (select employee.id from employee where employee_code='VM193');</v>
      </c>
      <c r="U66" s="34" t="str">
        <f t="shared" si="1"/>
        <v>update employee
  set  print_name_e = 'Chu Thị Dung',
       print_name_l = 'Chu Thị Dung'
 where   employee_code='VM193';</v>
      </c>
    </row>
    <row r="67" spans="1:21" s="19" customFormat="1" ht="18" customHeight="1">
      <c r="A67" s="8" t="s">
        <v>425</v>
      </c>
      <c r="B67" s="9" t="s">
        <v>426</v>
      </c>
      <c r="C67" s="10">
        <v>35269</v>
      </c>
      <c r="D67" s="8" t="s">
        <v>14</v>
      </c>
      <c r="E67" s="9" t="s">
        <v>427</v>
      </c>
      <c r="F67" s="9" t="s">
        <v>24</v>
      </c>
      <c r="G67" s="11" t="s">
        <v>428</v>
      </c>
      <c r="H67" s="22" t="s">
        <v>15</v>
      </c>
      <c r="I67" s="11" t="s">
        <v>63</v>
      </c>
      <c r="J67" s="9" t="s">
        <v>429</v>
      </c>
      <c r="K67" s="15">
        <v>45323</v>
      </c>
      <c r="L67" s="21" t="s">
        <v>1068</v>
      </c>
      <c r="M67" s="9"/>
      <c r="N67" s="15" t="s">
        <v>55</v>
      </c>
      <c r="O67" s="8" t="s">
        <v>430</v>
      </c>
      <c r="P67" s="9" t="s">
        <v>426</v>
      </c>
      <c r="Q67" s="16" t="s">
        <v>431</v>
      </c>
      <c r="R67" s="17">
        <v>44908</v>
      </c>
      <c r="S67" s="18" t="s">
        <v>58</v>
      </c>
      <c r="T67" s="19" t="str">
        <f t="shared" si="2"/>
        <v xml:space="preserve"> update person
  set  id_card_no = '089096015734'
 where  id = (select employee.id from employee where employee_code='VM090');</v>
      </c>
      <c r="U67" s="34" t="str">
        <f t="shared" ref="U67:U130" si="3">"update employee
  set  print_name_e = '"&amp;P67&amp;"',
       print_name_l = '"&amp;P67&amp;"'
 where   employee_code='"&amp;A67&amp;"';"</f>
        <v>update employee
  set  print_name_e = 'Trần Bách Tùng',
       print_name_l = 'Trần Bách Tùng'
 where   employee_code='VM090';</v>
      </c>
    </row>
    <row r="68" spans="1:21" s="19" customFormat="1" ht="18" customHeight="1">
      <c r="A68" s="8" t="s">
        <v>432</v>
      </c>
      <c r="B68" s="9" t="s">
        <v>433</v>
      </c>
      <c r="C68" s="10">
        <v>37394</v>
      </c>
      <c r="D68" s="8" t="s">
        <v>14</v>
      </c>
      <c r="E68" s="9" t="s">
        <v>434</v>
      </c>
      <c r="F68" s="9" t="s">
        <v>24</v>
      </c>
      <c r="G68" s="11" t="s">
        <v>428</v>
      </c>
      <c r="H68" s="22" t="s">
        <v>15</v>
      </c>
      <c r="I68" s="11" t="s">
        <v>63</v>
      </c>
      <c r="J68" s="9"/>
      <c r="K68" s="15"/>
      <c r="L68" s="21"/>
      <c r="M68" s="9"/>
      <c r="N68" s="15" t="s">
        <v>55</v>
      </c>
      <c r="O68" s="8" t="s">
        <v>435</v>
      </c>
      <c r="P68" s="9" t="s">
        <v>433</v>
      </c>
      <c r="Q68" s="16" t="s">
        <v>436</v>
      </c>
      <c r="R68" s="17">
        <v>44573</v>
      </c>
      <c r="S68" s="18" t="s">
        <v>58</v>
      </c>
      <c r="T68" s="19" t="str">
        <f t="shared" si="2"/>
        <v xml:space="preserve"> update person
  set  id_card_no = '079202032925'
 where  id = (select employee.id from employee where employee_code='VM181');</v>
      </c>
      <c r="U68" s="34" t="str">
        <f t="shared" si="3"/>
        <v>update employee
  set  print_name_e = 'Nguyễn Ngọc Trọng Tấn',
       print_name_l = 'Nguyễn Ngọc Trọng Tấn'
 where   employee_code='VM181';</v>
      </c>
    </row>
    <row r="69" spans="1:21" s="19" customFormat="1" ht="18" customHeight="1">
      <c r="A69" s="8" t="s">
        <v>437</v>
      </c>
      <c r="B69" s="9" t="s">
        <v>438</v>
      </c>
      <c r="C69" s="10">
        <v>34031</v>
      </c>
      <c r="D69" s="8" t="s">
        <v>16</v>
      </c>
      <c r="E69" s="9" t="s">
        <v>439</v>
      </c>
      <c r="F69" s="9" t="s">
        <v>24</v>
      </c>
      <c r="G69" s="11" t="s">
        <v>428</v>
      </c>
      <c r="H69" s="22" t="s">
        <v>15</v>
      </c>
      <c r="I69" s="11" t="s">
        <v>961</v>
      </c>
      <c r="J69" s="9"/>
      <c r="K69" s="15"/>
      <c r="L69" s="21"/>
      <c r="M69" s="9"/>
      <c r="N69" s="15" t="s">
        <v>55</v>
      </c>
      <c r="O69" s="8" t="s">
        <v>440</v>
      </c>
      <c r="P69" s="9" t="s">
        <v>438</v>
      </c>
      <c r="Q69" s="16" t="s">
        <v>441</v>
      </c>
      <c r="R69" s="17">
        <v>46132</v>
      </c>
      <c r="S69" s="18" t="s">
        <v>48</v>
      </c>
      <c r="T69" s="19" t="str">
        <f t="shared" si="2"/>
        <v xml:space="preserve"> update person
  set  id_card_no = '079193003912'
 where  id = (select employee.id from employee where employee_code='VM261');</v>
      </c>
      <c r="U69" s="34" t="str">
        <f t="shared" si="3"/>
        <v>update employee
  set  print_name_e = 'Võ Hoàng Bảo Ngọc',
       print_name_l = 'Võ Hoàng Bảo Ngọc'
 where   employee_code='VM261';</v>
      </c>
    </row>
    <row r="70" spans="1:21" s="19" customFormat="1" ht="18" customHeight="1">
      <c r="A70" s="8" t="s">
        <v>442</v>
      </c>
      <c r="B70" s="9" t="s">
        <v>443</v>
      </c>
      <c r="C70" s="10">
        <v>33608</v>
      </c>
      <c r="D70" s="8" t="s">
        <v>16</v>
      </c>
      <c r="E70" s="9" t="s">
        <v>444</v>
      </c>
      <c r="F70" s="9" t="s">
        <v>445</v>
      </c>
      <c r="G70" s="11" t="s">
        <v>446</v>
      </c>
      <c r="H70" s="22" t="s">
        <v>22</v>
      </c>
      <c r="I70" s="11" t="s">
        <v>63</v>
      </c>
      <c r="J70" s="9"/>
      <c r="K70" s="15"/>
      <c r="L70" s="21"/>
      <c r="M70" s="9"/>
      <c r="N70" s="15" t="s">
        <v>55</v>
      </c>
      <c r="O70" s="8" t="s">
        <v>447</v>
      </c>
      <c r="P70" s="9" t="s">
        <v>443</v>
      </c>
      <c r="Q70" s="16" t="s">
        <v>448</v>
      </c>
      <c r="R70" s="17">
        <v>44317</v>
      </c>
      <c r="S70" s="18" t="s">
        <v>58</v>
      </c>
      <c r="T70" s="19" t="str">
        <f t="shared" si="2"/>
        <v xml:space="preserve"> update person
  set  id_card_no = '001192002248'
 where  id = (select employee.id from employee where employee_code='VM060');</v>
      </c>
      <c r="U70" s="34" t="str">
        <f t="shared" si="3"/>
        <v>update employee
  set  print_name_e = 'Nguyễn Thùy Linh',
       print_name_l = 'Nguyễn Thùy Linh'
 where   employee_code='VM060';</v>
      </c>
    </row>
    <row r="71" spans="1:21" s="19" customFormat="1" ht="18" customHeight="1">
      <c r="A71" s="8" t="s">
        <v>449</v>
      </c>
      <c r="B71" s="9" t="s">
        <v>450</v>
      </c>
      <c r="C71" s="10">
        <v>33265</v>
      </c>
      <c r="D71" s="8" t="s">
        <v>14</v>
      </c>
      <c r="E71" s="9" t="s">
        <v>451</v>
      </c>
      <c r="F71" s="9" t="s">
        <v>445</v>
      </c>
      <c r="G71" s="11" t="s">
        <v>452</v>
      </c>
      <c r="H71" s="22" t="s">
        <v>453</v>
      </c>
      <c r="I71" s="11" t="s">
        <v>63</v>
      </c>
      <c r="J71" s="9"/>
      <c r="K71" s="15"/>
      <c r="L71" s="21"/>
      <c r="M71" s="9"/>
      <c r="N71" s="15" t="s">
        <v>55</v>
      </c>
      <c r="O71" s="8" t="s">
        <v>454</v>
      </c>
      <c r="P71" s="9" t="s">
        <v>450</v>
      </c>
      <c r="Q71" s="16" t="s">
        <v>455</v>
      </c>
      <c r="R71" s="17">
        <v>44527</v>
      </c>
      <c r="S71" s="18" t="s">
        <v>58</v>
      </c>
      <c r="T71" s="19" t="str">
        <f t="shared" si="2"/>
        <v xml:space="preserve"> update person
  set  id_card_no = '079091000066'
 where  id = (select employee.id from employee where employee_code='VM199');</v>
      </c>
      <c r="U71" s="34" t="str">
        <f t="shared" si="3"/>
        <v>update employee
  set  print_name_e = 'Trần Nhật Khanh',
       print_name_l = 'Trần Nhật Khanh'
 where   employee_code='VM199';</v>
      </c>
    </row>
    <row r="72" spans="1:21" s="19" customFormat="1" ht="18" customHeight="1">
      <c r="A72" s="8" t="s">
        <v>456</v>
      </c>
      <c r="B72" s="9" t="s">
        <v>457</v>
      </c>
      <c r="C72" s="10">
        <v>35601</v>
      </c>
      <c r="D72" s="8" t="s">
        <v>16</v>
      </c>
      <c r="E72" s="9" t="s">
        <v>458</v>
      </c>
      <c r="F72" s="9" t="s">
        <v>445</v>
      </c>
      <c r="G72" s="11" t="s">
        <v>459</v>
      </c>
      <c r="H72" s="22" t="s">
        <v>15</v>
      </c>
      <c r="I72" s="11" t="s">
        <v>63</v>
      </c>
      <c r="J72" s="9"/>
      <c r="K72" s="15"/>
      <c r="L72" s="21"/>
      <c r="M72" s="9"/>
      <c r="N72" s="15" t="s">
        <v>55</v>
      </c>
      <c r="O72" s="8" t="s">
        <v>460</v>
      </c>
      <c r="P72" s="9" t="s">
        <v>457</v>
      </c>
      <c r="Q72" s="16" t="s">
        <v>461</v>
      </c>
      <c r="R72" s="17">
        <v>45786</v>
      </c>
      <c r="S72" s="18" t="s">
        <v>58</v>
      </c>
      <c r="T72" s="19" t="str">
        <f t="shared" si="2"/>
        <v xml:space="preserve"> update person
  set  id_card_no = '095197002479'
 where  id = (select employee.id from employee where employee_code='VM121');</v>
      </c>
      <c r="U72" s="34" t="str">
        <f t="shared" si="3"/>
        <v>update employee
  set  print_name_e = 'Trần Thị Kim Tâm',
       print_name_l = 'Trần Thị Kim Tâm'
 where   employee_code='VM121';</v>
      </c>
    </row>
    <row r="73" spans="1:21" s="19" customFormat="1" ht="18" customHeight="1">
      <c r="A73" s="8" t="s">
        <v>462</v>
      </c>
      <c r="B73" s="9" t="s">
        <v>463</v>
      </c>
      <c r="C73" s="10">
        <v>35581</v>
      </c>
      <c r="D73" s="8" t="s">
        <v>16</v>
      </c>
      <c r="E73" s="9" t="s">
        <v>464</v>
      </c>
      <c r="F73" s="9" t="s">
        <v>445</v>
      </c>
      <c r="G73" s="11" t="s">
        <v>465</v>
      </c>
      <c r="H73" s="22" t="s">
        <v>15</v>
      </c>
      <c r="I73" s="11" t="s">
        <v>63</v>
      </c>
      <c r="J73" s="9"/>
      <c r="K73" s="15"/>
      <c r="L73" s="21"/>
      <c r="M73" s="9"/>
      <c r="N73" s="15" t="s">
        <v>55</v>
      </c>
      <c r="O73" s="8" t="s">
        <v>466</v>
      </c>
      <c r="P73" s="9" t="s">
        <v>463</v>
      </c>
      <c r="Q73" s="16" t="s">
        <v>467</v>
      </c>
      <c r="R73" s="17">
        <v>44461</v>
      </c>
      <c r="S73" s="18" t="s">
        <v>58</v>
      </c>
      <c r="T73" s="19" t="str">
        <f t="shared" si="2"/>
        <v xml:space="preserve"> update person
  set  id_card_no = '080197015559'
 where  id = (select employee.id from employee where employee_code='VM216');</v>
      </c>
      <c r="U73" s="34" t="str">
        <f t="shared" si="3"/>
        <v>update employee
  set  print_name_e = 'Phan Nguyễn Ngọc Trâm',
       print_name_l = 'Phan Nguyễn Ngọc Trâm'
 where   employee_code='VM216';</v>
      </c>
    </row>
    <row r="74" spans="1:21" s="19" customFormat="1" ht="18" customHeight="1">
      <c r="A74" s="8" t="s">
        <v>468</v>
      </c>
      <c r="B74" s="9" t="s">
        <v>469</v>
      </c>
      <c r="C74" s="10">
        <v>36504</v>
      </c>
      <c r="D74" s="8" t="s">
        <v>14</v>
      </c>
      <c r="E74" s="9" t="s">
        <v>470</v>
      </c>
      <c r="F74" s="9" t="s">
        <v>445</v>
      </c>
      <c r="G74" s="11" t="s">
        <v>471</v>
      </c>
      <c r="H74" s="22" t="s">
        <v>15</v>
      </c>
      <c r="I74" s="11" t="s">
        <v>63</v>
      </c>
      <c r="J74" s="9"/>
      <c r="K74" s="15"/>
      <c r="L74" s="21"/>
      <c r="M74" s="9"/>
      <c r="N74" s="15" t="s">
        <v>55</v>
      </c>
      <c r="O74" s="8" t="s">
        <v>472</v>
      </c>
      <c r="P74" s="9" t="s">
        <v>469</v>
      </c>
      <c r="Q74" s="16" t="s">
        <v>473</v>
      </c>
      <c r="R74" s="17">
        <v>45655</v>
      </c>
      <c r="S74" s="18" t="s">
        <v>48</v>
      </c>
      <c r="T74" s="19" t="str">
        <f t="shared" si="2"/>
        <v xml:space="preserve"> update person
  set  id_card_no = '054099003023'
 where  id = (select employee.id from employee where employee_code='VM251');</v>
      </c>
      <c r="U74" s="34" t="str">
        <f t="shared" si="3"/>
        <v>update employee
  set  print_name_e = 'Nguyễn Hữu Toàn',
       print_name_l = 'Nguyễn Hữu Toàn'
 where   employee_code='VM251';</v>
      </c>
    </row>
    <row r="75" spans="1:21" s="19" customFormat="1" ht="18" customHeight="1">
      <c r="A75" s="8" t="s">
        <v>474</v>
      </c>
      <c r="B75" s="9" t="s">
        <v>475</v>
      </c>
      <c r="C75" s="10">
        <v>32535</v>
      </c>
      <c r="D75" s="8" t="s">
        <v>16</v>
      </c>
      <c r="E75" s="9" t="s">
        <v>105</v>
      </c>
      <c r="F75" s="9" t="s">
        <v>445</v>
      </c>
      <c r="G75" s="11" t="s">
        <v>465</v>
      </c>
      <c r="H75" s="22" t="s">
        <v>15</v>
      </c>
      <c r="I75" s="11" t="s">
        <v>63</v>
      </c>
      <c r="J75" s="9"/>
      <c r="K75" s="15"/>
      <c r="L75" s="21"/>
      <c r="M75" s="9"/>
      <c r="N75" s="15" t="s">
        <v>55</v>
      </c>
      <c r="O75" s="8" t="s">
        <v>476</v>
      </c>
      <c r="P75" s="9" t="s">
        <v>475</v>
      </c>
      <c r="Q75" s="16" t="s">
        <v>477</v>
      </c>
      <c r="R75" s="17">
        <v>44726</v>
      </c>
      <c r="S75" s="18" t="s">
        <v>58</v>
      </c>
      <c r="T75" s="19" t="str">
        <f t="shared" si="2"/>
        <v xml:space="preserve"> update person
  set  id_card_no = '068189000402'
 where  id = (select employee.id from employee where employee_code='VM252');</v>
      </c>
      <c r="U75" s="34" t="str">
        <f t="shared" si="3"/>
        <v>update employee
  set  print_name_e = 'Trương Thanh Phương Linh',
       print_name_l = 'Trương Thanh Phương Linh'
 where   employee_code='VM252';</v>
      </c>
    </row>
    <row r="76" spans="1:21" s="19" customFormat="1" ht="18" customHeight="1">
      <c r="A76" s="8" t="s">
        <v>478</v>
      </c>
      <c r="B76" s="9" t="s">
        <v>479</v>
      </c>
      <c r="C76" s="10">
        <v>32874</v>
      </c>
      <c r="D76" s="8" t="s">
        <v>16</v>
      </c>
      <c r="E76" s="9" t="s">
        <v>480</v>
      </c>
      <c r="F76" s="9" t="s">
        <v>445</v>
      </c>
      <c r="G76" s="11" t="s">
        <v>1085</v>
      </c>
      <c r="H76" s="22" t="s">
        <v>15</v>
      </c>
      <c r="I76" s="11" t="s">
        <v>63</v>
      </c>
      <c r="J76" s="9"/>
      <c r="K76" s="15"/>
      <c r="L76" s="21"/>
      <c r="M76" s="9"/>
      <c r="N76" s="15" t="s">
        <v>55</v>
      </c>
      <c r="O76" s="8" t="s">
        <v>481</v>
      </c>
      <c r="P76" s="9" t="s">
        <v>479</v>
      </c>
      <c r="Q76" s="16" t="s">
        <v>482</v>
      </c>
      <c r="R76" s="17">
        <v>44422</v>
      </c>
      <c r="S76" s="18" t="s">
        <v>58</v>
      </c>
      <c r="T76" s="19" t="str">
        <f t="shared" si="2"/>
        <v xml:space="preserve"> update person
  set  id_card_no = '096190018588'
 where  id = (select employee.id from employee where employee_code='VM253');</v>
      </c>
      <c r="U76" s="34" t="str">
        <f t="shared" si="3"/>
        <v>update employee
  set  print_name_e = 'Đào Ngọc Thể',
       print_name_l = 'Đào Ngọc Thể'
 where   employee_code='VM253';</v>
      </c>
    </row>
    <row r="77" spans="1:21" s="19" customFormat="1" ht="18" customHeight="1">
      <c r="A77" s="8" t="s">
        <v>483</v>
      </c>
      <c r="B77" s="9" t="s">
        <v>484</v>
      </c>
      <c r="C77" s="10">
        <v>35551</v>
      </c>
      <c r="D77" s="8" t="s">
        <v>14</v>
      </c>
      <c r="E77" s="9" t="s">
        <v>485</v>
      </c>
      <c r="F77" s="9" t="s">
        <v>445</v>
      </c>
      <c r="G77" s="11" t="s">
        <v>486</v>
      </c>
      <c r="H77" s="22" t="s">
        <v>15</v>
      </c>
      <c r="I77" s="11" t="s">
        <v>63</v>
      </c>
      <c r="J77" s="9"/>
      <c r="K77" s="15"/>
      <c r="L77" s="21"/>
      <c r="M77" s="9"/>
      <c r="N77" s="15" t="s">
        <v>55</v>
      </c>
      <c r="O77" s="8" t="s">
        <v>487</v>
      </c>
      <c r="P77" s="9" t="s">
        <v>484</v>
      </c>
      <c r="Q77" s="16" t="s">
        <v>488</v>
      </c>
      <c r="R77" s="17">
        <v>45439</v>
      </c>
      <c r="S77" s="18" t="s">
        <v>48</v>
      </c>
      <c r="T77" s="19" t="str">
        <f t="shared" si="2"/>
        <v xml:space="preserve"> update person
  set  id_card_no = '072097006198'
 where  id = (select employee.id from employee where employee_code='VM254');</v>
      </c>
      <c r="U77" s="34" t="str">
        <f t="shared" si="3"/>
        <v>update employee
  set  print_name_e = 'Nguyễn Duy Thiện',
       print_name_l = 'Nguyễn Duy Thiện'
 where   employee_code='VM254';</v>
      </c>
    </row>
    <row r="78" spans="1:21" s="19" customFormat="1" ht="18" customHeight="1">
      <c r="A78" s="8" t="s">
        <v>489</v>
      </c>
      <c r="B78" s="9" t="s">
        <v>490</v>
      </c>
      <c r="C78" s="10">
        <v>33239</v>
      </c>
      <c r="D78" s="8" t="s">
        <v>14</v>
      </c>
      <c r="E78" s="9" t="s">
        <v>264</v>
      </c>
      <c r="F78" s="9" t="s">
        <v>445</v>
      </c>
      <c r="G78" s="11" t="s">
        <v>491</v>
      </c>
      <c r="H78" s="22" t="s">
        <v>15</v>
      </c>
      <c r="I78" s="11" t="s">
        <v>63</v>
      </c>
      <c r="J78" s="9"/>
      <c r="K78" s="15"/>
      <c r="L78" s="21"/>
      <c r="M78" s="9"/>
      <c r="N78" s="15" t="s">
        <v>55</v>
      </c>
      <c r="O78" s="8" t="s">
        <v>492</v>
      </c>
      <c r="P78" s="9" t="s">
        <v>490</v>
      </c>
      <c r="Q78" s="16" t="s">
        <v>493</v>
      </c>
      <c r="R78" s="17">
        <v>45937</v>
      </c>
      <c r="S78" s="18" t="s">
        <v>48</v>
      </c>
      <c r="T78" s="19" t="str">
        <f t="shared" si="2"/>
        <v xml:space="preserve"> update person
  set  id_card_no = '079091001707'
 where  id = (select employee.id from employee where employee_code='VM260');</v>
      </c>
      <c r="U78" s="34" t="str">
        <f t="shared" si="3"/>
        <v>update employee
  set  print_name_e = 'Hồ Thanh Huy',
       print_name_l = 'Hồ Thanh Huy'
 where   employee_code='VM260';</v>
      </c>
    </row>
    <row r="79" spans="1:21" s="19" customFormat="1" ht="18" customHeight="1">
      <c r="A79" s="8" t="s">
        <v>494</v>
      </c>
      <c r="B79" s="9" t="s">
        <v>495</v>
      </c>
      <c r="C79" s="10">
        <v>28129</v>
      </c>
      <c r="D79" s="8" t="s">
        <v>16</v>
      </c>
      <c r="E79" s="9" t="s">
        <v>439</v>
      </c>
      <c r="F79" s="9" t="s">
        <v>445</v>
      </c>
      <c r="G79" s="11" t="s">
        <v>496</v>
      </c>
      <c r="H79" s="22" t="s">
        <v>21</v>
      </c>
      <c r="I79" s="11" t="s">
        <v>63</v>
      </c>
      <c r="J79" s="9"/>
      <c r="K79" s="15"/>
      <c r="L79" s="21"/>
      <c r="M79" s="9"/>
      <c r="N79" s="15" t="s">
        <v>55</v>
      </c>
      <c r="O79" s="8" t="s">
        <v>497</v>
      </c>
      <c r="P79" s="9" t="s">
        <v>495</v>
      </c>
      <c r="Q79" s="16" t="s">
        <v>498</v>
      </c>
      <c r="R79" s="17">
        <v>44816</v>
      </c>
      <c r="S79" s="18" t="s">
        <v>58</v>
      </c>
      <c r="T79" s="19" t="str">
        <f t="shared" si="2"/>
        <v xml:space="preserve"> update person
  set  id_card_no = '046177000207'
 where  id = (select employee.id from employee where employee_code='VM242');</v>
      </c>
      <c r="U79" s="34" t="str">
        <f t="shared" si="3"/>
        <v>update employee
  set  print_name_e = 'Trần Thị Hà Đông',
       print_name_l = 'Trần Thị Hà Đông'
 where   employee_code='VM242';</v>
      </c>
    </row>
    <row r="80" spans="1:21" s="19" customFormat="1" ht="18" customHeight="1">
      <c r="A80" s="8" t="s">
        <v>499</v>
      </c>
      <c r="B80" s="9" t="s">
        <v>500</v>
      </c>
      <c r="C80" s="10" t="s">
        <v>501</v>
      </c>
      <c r="D80" s="8" t="s">
        <v>14</v>
      </c>
      <c r="E80" s="9" t="s">
        <v>168</v>
      </c>
      <c r="F80" s="9" t="s">
        <v>445</v>
      </c>
      <c r="G80" s="11" t="s">
        <v>496</v>
      </c>
      <c r="H80" s="22" t="s">
        <v>453</v>
      </c>
      <c r="I80" s="11" t="s">
        <v>63</v>
      </c>
      <c r="J80" s="9"/>
      <c r="K80" s="15"/>
      <c r="L80" s="21"/>
      <c r="M80" s="9"/>
      <c r="N80" s="15" t="s">
        <v>55</v>
      </c>
      <c r="O80" s="8" t="s">
        <v>502</v>
      </c>
      <c r="P80" s="9" t="s">
        <v>500</v>
      </c>
      <c r="Q80" s="16" t="s">
        <v>503</v>
      </c>
      <c r="R80" s="17">
        <v>45737</v>
      </c>
      <c r="S80" s="18" t="s">
        <v>48</v>
      </c>
      <c r="T80" s="19" t="str">
        <f t="shared" si="2"/>
        <v xml:space="preserve"> update person
  set  id_card_no = '079085011666'
 where  id = (select employee.id from employee where employee_code='VM170');</v>
      </c>
      <c r="U80" s="34" t="str">
        <f t="shared" si="3"/>
        <v>update employee
  set  print_name_e = 'Nguyễn Hoàng Sơn',
       print_name_l = 'Nguyễn Hoàng Sơn'
 where   employee_code='VM170';</v>
      </c>
    </row>
    <row r="81" spans="1:21" s="19" customFormat="1" ht="18" customHeight="1">
      <c r="A81" s="8" t="s">
        <v>504</v>
      </c>
      <c r="B81" s="9" t="s">
        <v>34</v>
      </c>
      <c r="C81" s="10">
        <v>32043</v>
      </c>
      <c r="D81" s="8" t="s">
        <v>16</v>
      </c>
      <c r="E81" s="9" t="s">
        <v>505</v>
      </c>
      <c r="F81" s="9" t="s">
        <v>445</v>
      </c>
      <c r="G81" s="11" t="s">
        <v>506</v>
      </c>
      <c r="H81" s="22" t="s">
        <v>15</v>
      </c>
      <c r="I81" s="11" t="s">
        <v>1066</v>
      </c>
      <c r="J81" s="9"/>
      <c r="K81" s="15"/>
      <c r="L81" s="21"/>
      <c r="M81" s="9"/>
      <c r="N81" s="15" t="s">
        <v>55</v>
      </c>
      <c r="O81" s="8" t="s">
        <v>507</v>
      </c>
      <c r="P81" s="9" t="s">
        <v>34</v>
      </c>
      <c r="Q81" s="16" t="s">
        <v>508</v>
      </c>
      <c r="R81" s="17">
        <v>44529</v>
      </c>
      <c r="S81" s="18" t="s">
        <v>58</v>
      </c>
      <c r="T81" s="19" t="str">
        <f t="shared" si="2"/>
        <v xml:space="preserve"> update person
  set  id_card_no = '096187003676'
 where  id = (select employee.id from employee where employee_code='VM188');</v>
      </c>
      <c r="U81" s="34" t="str">
        <f t="shared" si="3"/>
        <v>update employee
  set  print_name_e = 'Nguyễn Trúc Linh',
       print_name_l = 'Nguyễn Trúc Linh'
 where   employee_code='VM188';</v>
      </c>
    </row>
    <row r="82" spans="1:21" s="19" customFormat="1" ht="18" customHeight="1">
      <c r="A82" s="8" t="s">
        <v>509</v>
      </c>
      <c r="B82" s="9" t="s">
        <v>510</v>
      </c>
      <c r="C82" s="10">
        <v>32781</v>
      </c>
      <c r="D82" s="8" t="s">
        <v>14</v>
      </c>
      <c r="E82" s="9" t="s">
        <v>511</v>
      </c>
      <c r="F82" s="9" t="s">
        <v>445</v>
      </c>
      <c r="G82" s="11" t="s">
        <v>506</v>
      </c>
      <c r="H82" s="22" t="s">
        <v>15</v>
      </c>
      <c r="I82" s="11" t="s">
        <v>63</v>
      </c>
      <c r="J82" s="9"/>
      <c r="K82" s="15"/>
      <c r="L82" s="21"/>
      <c r="M82" s="9"/>
      <c r="N82" s="15" t="s">
        <v>55</v>
      </c>
      <c r="O82" s="8" t="s">
        <v>512</v>
      </c>
      <c r="P82" s="9" t="s">
        <v>510</v>
      </c>
      <c r="Q82" s="16" t="s">
        <v>513</v>
      </c>
      <c r="R82" s="17">
        <v>44512</v>
      </c>
      <c r="S82" s="18" t="s">
        <v>58</v>
      </c>
      <c r="T82" s="19" t="str">
        <f t="shared" si="2"/>
        <v xml:space="preserve"> update person
  set  id_card_no = '037089014217'
 where  id = (select employee.id from employee where employee_code='VM058');</v>
      </c>
      <c r="U82" s="34" t="str">
        <f t="shared" si="3"/>
        <v>update employee
  set  print_name_e = 'Trần Văn Lộc',
       print_name_l = 'Trần Văn Lộc'
 where   employee_code='VM058';</v>
      </c>
    </row>
    <row r="83" spans="1:21" s="19" customFormat="1" ht="18" customHeight="1">
      <c r="A83" s="8" t="s">
        <v>514</v>
      </c>
      <c r="B83" s="9" t="s">
        <v>515</v>
      </c>
      <c r="C83" s="10" t="s">
        <v>516</v>
      </c>
      <c r="D83" s="8" t="s">
        <v>14</v>
      </c>
      <c r="E83" s="9" t="s">
        <v>517</v>
      </c>
      <c r="F83" s="9" t="s">
        <v>445</v>
      </c>
      <c r="G83" s="11" t="s">
        <v>506</v>
      </c>
      <c r="H83" s="12" t="s">
        <v>15</v>
      </c>
      <c r="I83" s="11" t="s">
        <v>63</v>
      </c>
      <c r="J83" s="9"/>
      <c r="K83" s="15"/>
      <c r="L83" s="21"/>
      <c r="M83" s="9"/>
      <c r="N83" s="15" t="s">
        <v>55</v>
      </c>
      <c r="O83" s="8" t="s">
        <v>518</v>
      </c>
      <c r="P83" s="9" t="s">
        <v>515</v>
      </c>
      <c r="Q83" s="16" t="s">
        <v>519</v>
      </c>
      <c r="R83" s="17" t="s">
        <v>520</v>
      </c>
      <c r="S83" s="18" t="s">
        <v>58</v>
      </c>
      <c r="T83" s="19" t="str">
        <f t="shared" si="2"/>
        <v xml:space="preserve"> update person
  set  id_card_no = '064200011226'
 where  id = (select employee.id from employee where employee_code='VM166');</v>
      </c>
      <c r="U83" s="34" t="str">
        <f t="shared" si="3"/>
        <v>update employee
  set  print_name_e = 'Huỳnh Ngọc Hải',
       print_name_l = 'Huỳnh Ngọc Hải'
 where   employee_code='VM166';</v>
      </c>
    </row>
    <row r="84" spans="1:21" s="19" customFormat="1" ht="18" customHeight="1">
      <c r="A84" s="8" t="s">
        <v>521</v>
      </c>
      <c r="B84" s="9" t="s">
        <v>522</v>
      </c>
      <c r="C84" s="10">
        <v>33371</v>
      </c>
      <c r="D84" s="8" t="s">
        <v>14</v>
      </c>
      <c r="E84" s="9" t="s">
        <v>523</v>
      </c>
      <c r="F84" s="9" t="s">
        <v>524</v>
      </c>
      <c r="G84" s="11" t="s">
        <v>525</v>
      </c>
      <c r="H84" s="12" t="s">
        <v>526</v>
      </c>
      <c r="I84" s="11" t="s">
        <v>845</v>
      </c>
      <c r="J84" s="9"/>
      <c r="K84" s="15"/>
      <c r="L84" s="21"/>
      <c r="M84" s="9"/>
      <c r="N84" s="15" t="s">
        <v>55</v>
      </c>
      <c r="O84" s="8" t="s">
        <v>527</v>
      </c>
      <c r="P84" s="9" t="s">
        <v>522</v>
      </c>
      <c r="Q84" s="16" t="s">
        <v>528</v>
      </c>
      <c r="R84" s="17">
        <v>44788</v>
      </c>
      <c r="S84" s="18" t="s">
        <v>58</v>
      </c>
      <c r="T84" s="19" t="str">
        <f t="shared" ref="T84:T147" si="4">" update person
  set  id_card_no = '"&amp;Q84&amp;"'
 where  id = (select employee.id from employee where employee_code='"&amp;A84&amp;"');"</f>
        <v xml:space="preserve"> update person
  set  id_card_no = '077091002439'
 where  id = (select employee.id from employee where employee_code='VM061');</v>
      </c>
      <c r="U84" s="34" t="str">
        <f t="shared" si="3"/>
        <v>update employee
  set  print_name_e = 'Nguyễn Thành Đô',
       print_name_l = 'Nguyễn Thành Đô'
 where   employee_code='VM061';</v>
      </c>
    </row>
    <row r="85" spans="1:21" s="19" customFormat="1" ht="18" customHeight="1">
      <c r="A85" s="8" t="s">
        <v>529</v>
      </c>
      <c r="B85" s="9" t="s">
        <v>530</v>
      </c>
      <c r="C85" s="10">
        <v>35441</v>
      </c>
      <c r="D85" s="8" t="s">
        <v>16</v>
      </c>
      <c r="E85" s="9" t="s">
        <v>531</v>
      </c>
      <c r="F85" s="9" t="s">
        <v>524</v>
      </c>
      <c r="G85" s="11" t="s">
        <v>532</v>
      </c>
      <c r="H85" s="22" t="s">
        <v>15</v>
      </c>
      <c r="I85" s="11" t="s">
        <v>63</v>
      </c>
      <c r="J85" s="9"/>
      <c r="K85" s="15"/>
      <c r="L85" s="21"/>
      <c r="M85" s="9"/>
      <c r="N85" s="15" t="s">
        <v>55</v>
      </c>
      <c r="O85" s="8" t="s">
        <v>533</v>
      </c>
      <c r="P85" s="9" t="s">
        <v>530</v>
      </c>
      <c r="Q85" s="16" t="s">
        <v>534</v>
      </c>
      <c r="R85" s="17">
        <v>44623</v>
      </c>
      <c r="S85" s="18" t="s">
        <v>58</v>
      </c>
      <c r="T85" s="19" t="str">
        <f t="shared" si="4"/>
        <v xml:space="preserve"> update person
  set  id_card_no = '052197007069'
 where  id = (select employee.id from employee where employee_code='VM062');</v>
      </c>
      <c r="U85" s="34" t="str">
        <f t="shared" si="3"/>
        <v>update employee
  set  print_name_e = 'Nguyễn Bích Nữ',
       print_name_l = 'Nguyễn Bích Nữ'
 where   employee_code='VM062';</v>
      </c>
    </row>
    <row r="86" spans="1:21" s="19" customFormat="1" ht="18" customHeight="1">
      <c r="A86" s="8" t="s">
        <v>535</v>
      </c>
      <c r="B86" s="9" t="s">
        <v>536</v>
      </c>
      <c r="C86" s="10">
        <v>34415</v>
      </c>
      <c r="D86" s="8" t="s">
        <v>16</v>
      </c>
      <c r="E86" s="9" t="s">
        <v>52</v>
      </c>
      <c r="F86" s="9" t="s">
        <v>524</v>
      </c>
      <c r="G86" s="11" t="s">
        <v>532</v>
      </c>
      <c r="H86" s="22" t="s">
        <v>15</v>
      </c>
      <c r="I86" s="11" t="s">
        <v>1067</v>
      </c>
      <c r="J86" s="9"/>
      <c r="K86" s="15"/>
      <c r="L86" s="21"/>
      <c r="M86" s="9"/>
      <c r="N86" s="15" t="s">
        <v>55</v>
      </c>
      <c r="O86" s="8" t="s">
        <v>537</v>
      </c>
      <c r="P86" s="9" t="s">
        <v>536</v>
      </c>
      <c r="Q86" s="16" t="s">
        <v>538</v>
      </c>
      <c r="R86" s="17">
        <v>44522</v>
      </c>
      <c r="S86" s="18" t="s">
        <v>58</v>
      </c>
      <c r="T86" s="19" t="str">
        <f t="shared" si="4"/>
        <v xml:space="preserve"> update person
  set  id_card_no = '026194000741'
 where  id = (select employee.id from employee where employee_code='VM035');</v>
      </c>
      <c r="U86" s="34" t="str">
        <f t="shared" si="3"/>
        <v>update employee
  set  print_name_e = 'Huỳnh Thanh Thủy',
       print_name_l = 'Huỳnh Thanh Thủy'
 where   employee_code='VM035';</v>
      </c>
    </row>
    <row r="87" spans="1:21" s="19" customFormat="1" ht="18" customHeight="1">
      <c r="A87" s="8" t="s">
        <v>539</v>
      </c>
      <c r="B87" s="9" t="s">
        <v>540</v>
      </c>
      <c r="C87" s="10">
        <v>36189</v>
      </c>
      <c r="D87" s="8" t="s">
        <v>16</v>
      </c>
      <c r="E87" s="9" t="s">
        <v>358</v>
      </c>
      <c r="F87" s="9" t="s">
        <v>524</v>
      </c>
      <c r="G87" s="11" t="s">
        <v>532</v>
      </c>
      <c r="H87" s="22" t="s">
        <v>15</v>
      </c>
      <c r="I87" s="11" t="s">
        <v>961</v>
      </c>
      <c r="J87" s="9"/>
      <c r="K87" s="15"/>
      <c r="L87" s="21"/>
      <c r="M87" s="9"/>
      <c r="N87" s="15" t="s">
        <v>55</v>
      </c>
      <c r="O87" s="8" t="s">
        <v>541</v>
      </c>
      <c r="P87" s="9" t="s">
        <v>540</v>
      </c>
      <c r="Q87" s="16" t="s">
        <v>542</v>
      </c>
      <c r="R87" s="17">
        <v>44790</v>
      </c>
      <c r="S87" s="18" t="s">
        <v>58</v>
      </c>
      <c r="T87" s="19" t="str">
        <f t="shared" si="4"/>
        <v xml:space="preserve"> update person
  set  id_card_no = '079199012638'
 where  id = (select employee.id from employee where employee_code='VM036');</v>
      </c>
      <c r="U87" s="34" t="str">
        <f t="shared" si="3"/>
        <v>update employee
  set  print_name_e = 'Hoàng Hồng Nhung',
       print_name_l = 'Hoàng Hồng Nhung'
 where   employee_code='VM036';</v>
      </c>
    </row>
    <row r="88" spans="1:21" s="19" customFormat="1" ht="18" customHeight="1">
      <c r="A88" s="8" t="s">
        <v>543</v>
      </c>
      <c r="B88" s="9" t="s">
        <v>33</v>
      </c>
      <c r="C88" s="10">
        <v>37269</v>
      </c>
      <c r="D88" s="8" t="s">
        <v>16</v>
      </c>
      <c r="E88" s="9" t="s">
        <v>544</v>
      </c>
      <c r="F88" s="9" t="s">
        <v>524</v>
      </c>
      <c r="G88" s="11" t="s">
        <v>532</v>
      </c>
      <c r="H88" s="22" t="s">
        <v>15</v>
      </c>
      <c r="I88" s="11" t="s">
        <v>63</v>
      </c>
      <c r="J88" s="9"/>
      <c r="K88" s="15"/>
      <c r="L88" s="21"/>
      <c r="M88" s="9"/>
      <c r="N88" s="15" t="s">
        <v>55</v>
      </c>
      <c r="O88" s="8" t="s">
        <v>545</v>
      </c>
      <c r="P88" s="9" t="s">
        <v>33</v>
      </c>
      <c r="Q88" s="16" t="s">
        <v>546</v>
      </c>
      <c r="R88" s="17">
        <v>44579</v>
      </c>
      <c r="S88" s="18" t="s">
        <v>58</v>
      </c>
      <c r="T88" s="19" t="str">
        <f t="shared" si="4"/>
        <v xml:space="preserve"> update person
  set  id_card_no = '084302009388'
 where  id = (select employee.id from employee where employee_code='VM124');</v>
      </c>
      <c r="U88" s="34" t="str">
        <f t="shared" si="3"/>
        <v>update employee
  set  print_name_e = 'Nguyễn Thị Anh Thư',
       print_name_l = 'Nguyễn Thị Anh Thư'
 where   employee_code='VM124';</v>
      </c>
    </row>
    <row r="89" spans="1:21" s="19" customFormat="1" ht="18" customHeight="1">
      <c r="A89" s="8" t="s">
        <v>547</v>
      </c>
      <c r="B89" s="9" t="s">
        <v>548</v>
      </c>
      <c r="C89" s="10">
        <v>32761</v>
      </c>
      <c r="D89" s="8" t="s">
        <v>14</v>
      </c>
      <c r="E89" s="9" t="s">
        <v>549</v>
      </c>
      <c r="F89" s="9" t="s">
        <v>524</v>
      </c>
      <c r="G89" s="11" t="s">
        <v>532</v>
      </c>
      <c r="H89" s="22" t="s">
        <v>15</v>
      </c>
      <c r="I89" s="11" t="s">
        <v>63</v>
      </c>
      <c r="J89" s="11"/>
      <c r="K89" s="15"/>
      <c r="L89" s="21"/>
      <c r="M89" s="9"/>
      <c r="N89" s="15" t="s">
        <v>55</v>
      </c>
      <c r="O89" s="8" t="s">
        <v>550</v>
      </c>
      <c r="P89" s="9" t="s">
        <v>548</v>
      </c>
      <c r="Q89" s="16" t="s">
        <v>551</v>
      </c>
      <c r="R89" s="17">
        <v>44736</v>
      </c>
      <c r="S89" s="18" t="s">
        <v>58</v>
      </c>
      <c r="T89" s="19" t="str">
        <f t="shared" si="4"/>
        <v xml:space="preserve"> update person
  set  id_card_no = '079089014348'
 where  id = (select employee.id from employee where employee_code='VM136');</v>
      </c>
      <c r="U89" s="34" t="str">
        <f t="shared" si="3"/>
        <v>update employee
  set  print_name_e = 'Tô Thất Bảo',
       print_name_l = 'Tô Thất Bảo'
 where   employee_code='VM136';</v>
      </c>
    </row>
    <row r="90" spans="1:21" s="19" customFormat="1" ht="18" customHeight="1">
      <c r="A90" s="8" t="s">
        <v>552</v>
      </c>
      <c r="B90" s="9" t="s">
        <v>553</v>
      </c>
      <c r="C90" s="10">
        <v>35143</v>
      </c>
      <c r="D90" s="8" t="s">
        <v>16</v>
      </c>
      <c r="E90" s="9" t="s">
        <v>554</v>
      </c>
      <c r="F90" s="9" t="s">
        <v>524</v>
      </c>
      <c r="G90" s="11" t="s">
        <v>532</v>
      </c>
      <c r="H90" s="22" t="s">
        <v>15</v>
      </c>
      <c r="I90" s="11" t="s">
        <v>63</v>
      </c>
      <c r="J90" s="9"/>
      <c r="K90" s="15"/>
      <c r="L90" s="21"/>
      <c r="M90" s="9"/>
      <c r="N90" s="15" t="s">
        <v>55</v>
      </c>
      <c r="O90" s="8" t="s">
        <v>555</v>
      </c>
      <c r="P90" s="9" t="s">
        <v>553</v>
      </c>
      <c r="Q90" s="16" t="s">
        <v>556</v>
      </c>
      <c r="R90" s="17">
        <v>44795</v>
      </c>
      <c r="S90" s="18" t="s">
        <v>58</v>
      </c>
      <c r="T90" s="19" t="str">
        <f t="shared" si="4"/>
        <v xml:space="preserve"> update person
  set  id_card_no = '082196003752'
 where  id = (select employee.id from employee where employee_code='VM190');</v>
      </c>
      <c r="U90" s="34" t="str">
        <f t="shared" si="3"/>
        <v>update employee
  set  print_name_e = 'Võ Phạm Huỳnh Mai',
       print_name_l = 'Võ Phạm Huỳnh Mai'
 where   employee_code='VM190';</v>
      </c>
    </row>
    <row r="91" spans="1:21" s="19" customFormat="1" ht="18" customHeight="1">
      <c r="A91" s="8" t="s">
        <v>557</v>
      </c>
      <c r="B91" s="9" t="s">
        <v>558</v>
      </c>
      <c r="C91" s="10">
        <v>35620</v>
      </c>
      <c r="D91" s="8" t="s">
        <v>14</v>
      </c>
      <c r="E91" s="9" t="s">
        <v>559</v>
      </c>
      <c r="F91" s="9" t="s">
        <v>524</v>
      </c>
      <c r="G91" s="11" t="s">
        <v>532</v>
      </c>
      <c r="H91" s="22" t="s">
        <v>15</v>
      </c>
      <c r="I91" s="11" t="s">
        <v>63</v>
      </c>
      <c r="J91" s="9"/>
      <c r="K91" s="15"/>
      <c r="L91" s="21"/>
      <c r="M91" s="9"/>
      <c r="N91" s="15" t="s">
        <v>55</v>
      </c>
      <c r="O91" s="8" t="s">
        <v>560</v>
      </c>
      <c r="P91" s="9" t="s">
        <v>558</v>
      </c>
      <c r="Q91" s="16" t="s">
        <v>561</v>
      </c>
      <c r="R91" s="17">
        <v>44522</v>
      </c>
      <c r="S91" s="18" t="s">
        <v>58</v>
      </c>
      <c r="T91" s="19" t="str">
        <f t="shared" si="4"/>
        <v xml:space="preserve"> update person
  set  id_card_no = '086097008616'
 where  id = (select employee.id from employee where employee_code='VM215');</v>
      </c>
      <c r="U91" s="34" t="str">
        <f t="shared" si="3"/>
        <v>update employee
  set  print_name_e = 'Võ Duy Cường',
       print_name_l = 'Võ Duy Cường'
 where   employee_code='VM215';</v>
      </c>
    </row>
    <row r="92" spans="1:21" s="19" customFormat="1" ht="18" customHeight="1">
      <c r="A92" s="8" t="s">
        <v>562</v>
      </c>
      <c r="B92" s="9" t="s">
        <v>563</v>
      </c>
      <c r="C92" s="10">
        <v>24053</v>
      </c>
      <c r="D92" s="8" t="s">
        <v>16</v>
      </c>
      <c r="E92" s="9" t="s">
        <v>564</v>
      </c>
      <c r="F92" s="9" t="s">
        <v>565</v>
      </c>
      <c r="G92" s="11" t="s">
        <v>32</v>
      </c>
      <c r="H92" s="22" t="s">
        <v>32</v>
      </c>
      <c r="I92" s="11" t="s">
        <v>1064</v>
      </c>
      <c r="J92" s="9" t="s">
        <v>566</v>
      </c>
      <c r="K92" s="15">
        <v>41276</v>
      </c>
      <c r="L92" s="21" t="s">
        <v>72</v>
      </c>
      <c r="M92" s="9" t="s">
        <v>565</v>
      </c>
      <c r="N92" s="15" t="s">
        <v>55</v>
      </c>
      <c r="O92" s="8" t="s">
        <v>567</v>
      </c>
      <c r="P92" s="9" t="s">
        <v>568</v>
      </c>
      <c r="Q92" s="16" t="s">
        <v>569</v>
      </c>
      <c r="R92" s="17">
        <v>45799</v>
      </c>
      <c r="S92" s="18" t="s">
        <v>58</v>
      </c>
      <c r="T92" s="19" t="str">
        <f t="shared" si="4"/>
        <v xml:space="preserve"> update person
  set  id_card_no = '082165015783'
 where  id = (select employee.id from employee where employee_code='VM066');</v>
      </c>
      <c r="U92" s="34" t="str">
        <f t="shared" si="3"/>
        <v>update employee
  set  print_name_e = 'BS.CKII. Nguyễn Thị Dưỡng',
       print_name_l = 'BS.CKII. Nguyễn Thị Dưỡng'
 where   employee_code='VM066';</v>
      </c>
    </row>
    <row r="93" spans="1:21" s="19" customFormat="1" ht="18" customHeight="1">
      <c r="A93" s="8" t="s">
        <v>570</v>
      </c>
      <c r="B93" s="9" t="s">
        <v>571</v>
      </c>
      <c r="C93" s="10">
        <v>30270</v>
      </c>
      <c r="D93" s="8" t="s">
        <v>16</v>
      </c>
      <c r="E93" s="9" t="s">
        <v>511</v>
      </c>
      <c r="F93" s="9" t="s">
        <v>565</v>
      </c>
      <c r="G93" s="11" t="s">
        <v>20</v>
      </c>
      <c r="H93" s="22" t="s">
        <v>15</v>
      </c>
      <c r="I93" s="11" t="s">
        <v>63</v>
      </c>
      <c r="J93" s="9" t="s">
        <v>572</v>
      </c>
      <c r="K93" s="15">
        <v>41656</v>
      </c>
      <c r="L93" s="21" t="s">
        <v>1068</v>
      </c>
      <c r="M93" s="9" t="s">
        <v>565</v>
      </c>
      <c r="N93" s="15" t="s">
        <v>55</v>
      </c>
      <c r="O93" s="8" t="s">
        <v>573</v>
      </c>
      <c r="P93" s="9" t="s">
        <v>571</v>
      </c>
      <c r="Q93" s="16" t="s">
        <v>574</v>
      </c>
      <c r="R93" s="17">
        <v>44387</v>
      </c>
      <c r="S93" s="18" t="s">
        <v>58</v>
      </c>
      <c r="T93" s="19" t="str">
        <f t="shared" si="4"/>
        <v xml:space="preserve"> update person
  set  id_card_no = '072182011098'
 where  id = (select employee.id from employee where employee_code='VM064');</v>
      </c>
      <c r="U93" s="34" t="str">
        <f t="shared" si="3"/>
        <v>update employee
  set  print_name_e = 'Trần Vũ Minh Phát',
       print_name_l = 'Trần Vũ Minh Phát'
 where   employee_code='VM064';</v>
      </c>
    </row>
    <row r="94" spans="1:21" s="19" customFormat="1" ht="18" customHeight="1">
      <c r="A94" s="8" t="s">
        <v>575</v>
      </c>
      <c r="B94" s="9" t="s">
        <v>576</v>
      </c>
      <c r="C94" s="10">
        <v>29680</v>
      </c>
      <c r="D94" s="8" t="s">
        <v>16</v>
      </c>
      <c r="E94" s="9" t="s">
        <v>577</v>
      </c>
      <c r="F94" s="9" t="s">
        <v>565</v>
      </c>
      <c r="G94" s="11" t="s">
        <v>20</v>
      </c>
      <c r="H94" s="22" t="s">
        <v>15</v>
      </c>
      <c r="I94" s="11" t="s">
        <v>63</v>
      </c>
      <c r="J94" s="9" t="s">
        <v>578</v>
      </c>
      <c r="K94" s="15">
        <v>42095</v>
      </c>
      <c r="L94" s="21" t="s">
        <v>1068</v>
      </c>
      <c r="M94" s="9" t="s">
        <v>565</v>
      </c>
      <c r="N94" s="15" t="s">
        <v>55</v>
      </c>
      <c r="O94" s="8" t="s">
        <v>579</v>
      </c>
      <c r="P94" s="9" t="s">
        <v>580</v>
      </c>
      <c r="Q94" s="16" t="s">
        <v>581</v>
      </c>
      <c r="R94" s="17">
        <v>45073</v>
      </c>
      <c r="S94" s="18" t="s">
        <v>58</v>
      </c>
      <c r="T94" s="19" t="str">
        <f t="shared" si="4"/>
        <v xml:space="preserve"> update person
  set  id_card_no = '082181011379'
 where  id = (select employee.id from employee where employee_code='VM168');</v>
      </c>
      <c r="U94" s="34" t="str">
        <f t="shared" si="3"/>
        <v>update employee
  set  print_name_e = 'Ths. BS. Trần Quang Duy',
       print_name_l = 'Ths. BS. Trần Quang Duy'
 where   employee_code='VM168';</v>
      </c>
    </row>
    <row r="95" spans="1:21" s="19" customFormat="1" ht="18" customHeight="1">
      <c r="A95" s="8" t="s">
        <v>582</v>
      </c>
      <c r="B95" s="9" t="s">
        <v>583</v>
      </c>
      <c r="C95" s="10">
        <v>23750</v>
      </c>
      <c r="D95" s="8" t="s">
        <v>14</v>
      </c>
      <c r="E95" s="9" t="s">
        <v>162</v>
      </c>
      <c r="F95" s="9" t="s">
        <v>565</v>
      </c>
      <c r="G95" s="11" t="s">
        <v>20</v>
      </c>
      <c r="H95" s="22" t="s">
        <v>15</v>
      </c>
      <c r="I95" s="11" t="s">
        <v>63</v>
      </c>
      <c r="J95" s="9" t="s">
        <v>584</v>
      </c>
      <c r="K95" s="13">
        <v>42334</v>
      </c>
      <c r="L95" s="21" t="s">
        <v>585</v>
      </c>
      <c r="M95" s="9" t="s">
        <v>565</v>
      </c>
      <c r="N95" s="15" t="s">
        <v>55</v>
      </c>
      <c r="O95" s="8" t="s">
        <v>586</v>
      </c>
      <c r="P95" s="9" t="s">
        <v>587</v>
      </c>
      <c r="Q95" s="16" t="s">
        <v>588</v>
      </c>
      <c r="R95" s="17">
        <v>45655</v>
      </c>
      <c r="S95" s="18" t="s">
        <v>48</v>
      </c>
      <c r="T95" s="19" t="str">
        <f t="shared" si="4"/>
        <v xml:space="preserve"> update person
  set  id_card_no = '049065000332'
 where  id = (select employee.id from employee where employee_code='VM257');</v>
      </c>
      <c r="U95" s="34" t="str">
        <f t="shared" si="3"/>
        <v>update employee
  set  print_name_e = 'BS.CKII. Trần Quốc Việt',
       print_name_l = 'BS.CKII. Trần Quốc Việt'
 where   employee_code='VM257';</v>
      </c>
    </row>
    <row r="96" spans="1:21" s="19" customFormat="1" ht="18" customHeight="1">
      <c r="A96" s="8" t="s">
        <v>589</v>
      </c>
      <c r="B96" s="9" t="s">
        <v>590</v>
      </c>
      <c r="C96" s="10">
        <v>34375</v>
      </c>
      <c r="D96" s="8" t="s">
        <v>16</v>
      </c>
      <c r="E96" s="9" t="s">
        <v>162</v>
      </c>
      <c r="F96" s="9" t="s">
        <v>23</v>
      </c>
      <c r="G96" s="11" t="s">
        <v>591</v>
      </c>
      <c r="H96" s="22" t="s">
        <v>15</v>
      </c>
      <c r="I96" s="11" t="s">
        <v>63</v>
      </c>
      <c r="J96" s="9" t="s">
        <v>592</v>
      </c>
      <c r="K96" s="15">
        <v>43647</v>
      </c>
      <c r="L96" s="21" t="s">
        <v>1069</v>
      </c>
      <c r="M96" s="9"/>
      <c r="N96" s="15" t="s">
        <v>55</v>
      </c>
      <c r="O96" s="8" t="s">
        <v>593</v>
      </c>
      <c r="P96" s="9" t="s">
        <v>590</v>
      </c>
      <c r="Q96" s="16" t="s">
        <v>594</v>
      </c>
      <c r="R96" s="17">
        <v>44794</v>
      </c>
      <c r="S96" s="18" t="s">
        <v>58</v>
      </c>
      <c r="T96" s="19" t="str">
        <f t="shared" si="4"/>
        <v xml:space="preserve"> update person
  set  id_card_no = '044194017995'
 where  id = (select employee.id from employee where employee_code='VM095');</v>
      </c>
      <c r="U96" s="34" t="str">
        <f t="shared" si="3"/>
        <v>update employee
  set  print_name_e = 'Đoàn Thị Oanh',
       print_name_l = 'Đoàn Thị Oanh'
 where   employee_code='VM095';</v>
      </c>
    </row>
    <row r="97" spans="1:21" s="19" customFormat="1" ht="18" customHeight="1">
      <c r="A97" s="8" t="s">
        <v>595</v>
      </c>
      <c r="B97" s="9" t="s">
        <v>17</v>
      </c>
      <c r="C97" s="10">
        <v>33007</v>
      </c>
      <c r="D97" s="8" t="s">
        <v>16</v>
      </c>
      <c r="E97" s="9" t="s">
        <v>371</v>
      </c>
      <c r="F97" s="9" t="s">
        <v>23</v>
      </c>
      <c r="G97" s="11" t="s">
        <v>596</v>
      </c>
      <c r="H97" s="22" t="s">
        <v>15</v>
      </c>
      <c r="I97" s="11" t="s">
        <v>63</v>
      </c>
      <c r="J97" s="9" t="s">
        <v>597</v>
      </c>
      <c r="K97" s="15">
        <v>44614</v>
      </c>
      <c r="L97" s="21" t="s">
        <v>1068</v>
      </c>
      <c r="M97" s="9"/>
      <c r="N97" s="15" t="s">
        <v>55</v>
      </c>
      <c r="O97" s="8" t="s">
        <v>598</v>
      </c>
      <c r="P97" s="9" t="s">
        <v>17</v>
      </c>
      <c r="Q97" s="16" t="s">
        <v>599</v>
      </c>
      <c r="R97" s="17">
        <v>44522</v>
      </c>
      <c r="S97" s="18" t="s">
        <v>58</v>
      </c>
      <c r="T97" s="19" t="str">
        <f t="shared" si="4"/>
        <v xml:space="preserve"> update person
  set  id_card_no = '027190010260'
 where  id = (select employee.id from employee where employee_code='VM094');</v>
      </c>
      <c r="U97" s="34" t="str">
        <f t="shared" si="3"/>
        <v>update employee
  set  print_name_e = 'Vũ Thị Nga',
       print_name_l = 'Vũ Thị Nga'
 where   employee_code='VM094';</v>
      </c>
    </row>
    <row r="98" spans="1:21" s="19" customFormat="1" ht="18" customHeight="1">
      <c r="A98" s="8" t="s">
        <v>600</v>
      </c>
      <c r="B98" s="9" t="s">
        <v>601</v>
      </c>
      <c r="C98" s="10">
        <v>34303</v>
      </c>
      <c r="D98" s="8" t="s">
        <v>16</v>
      </c>
      <c r="E98" s="9" t="s">
        <v>602</v>
      </c>
      <c r="F98" s="9" t="s">
        <v>23</v>
      </c>
      <c r="G98" s="11" t="s">
        <v>596</v>
      </c>
      <c r="H98" s="22" t="s">
        <v>15</v>
      </c>
      <c r="I98" s="11" t="s">
        <v>1066</v>
      </c>
      <c r="J98" s="9" t="s">
        <v>603</v>
      </c>
      <c r="K98" s="15">
        <v>42069</v>
      </c>
      <c r="L98" s="21" t="s">
        <v>1070</v>
      </c>
      <c r="M98" s="9"/>
      <c r="N98" s="15" t="s">
        <v>55</v>
      </c>
      <c r="O98" s="8" t="s">
        <v>604</v>
      </c>
      <c r="P98" s="9" t="s">
        <v>601</v>
      </c>
      <c r="Q98" s="16" t="s">
        <v>605</v>
      </c>
      <c r="R98" s="17">
        <v>44515</v>
      </c>
      <c r="S98" s="18" t="s">
        <v>58</v>
      </c>
      <c r="T98" s="19" t="str">
        <f t="shared" si="4"/>
        <v xml:space="preserve"> update person
  set  id_card_no = '083193014170'
 where  id = (select employee.id from employee where employee_code='VM089');</v>
      </c>
      <c r="U98" s="34" t="str">
        <f t="shared" si="3"/>
        <v>update employee
  set  print_name_e = 'Nguyễn Thị Thảo Nguyên',
       print_name_l = 'Nguyễn Thị Thảo Nguyên'
 where   employee_code='VM089';</v>
      </c>
    </row>
    <row r="99" spans="1:21" s="19" customFormat="1" ht="18" customHeight="1">
      <c r="A99" s="8" t="s">
        <v>606</v>
      </c>
      <c r="B99" s="9" t="s">
        <v>607</v>
      </c>
      <c r="C99" s="10">
        <v>31525</v>
      </c>
      <c r="D99" s="8" t="s">
        <v>16</v>
      </c>
      <c r="E99" s="9" t="s">
        <v>608</v>
      </c>
      <c r="F99" s="9" t="s">
        <v>23</v>
      </c>
      <c r="G99" s="11" t="s">
        <v>596</v>
      </c>
      <c r="H99" s="22" t="s">
        <v>15</v>
      </c>
      <c r="I99" s="11" t="s">
        <v>63</v>
      </c>
      <c r="J99" s="9" t="s">
        <v>609</v>
      </c>
      <c r="K99" s="15">
        <v>41212</v>
      </c>
      <c r="L99" s="21" t="s">
        <v>1068</v>
      </c>
      <c r="M99" s="9"/>
      <c r="N99" s="15" t="s">
        <v>55</v>
      </c>
      <c r="O99" s="8" t="s">
        <v>610</v>
      </c>
      <c r="P99" s="9" t="s">
        <v>607</v>
      </c>
      <c r="Q99" s="16" t="s">
        <v>611</v>
      </c>
      <c r="R99" s="17">
        <v>44808</v>
      </c>
      <c r="S99" s="18" t="s">
        <v>58</v>
      </c>
      <c r="T99" s="19" t="str">
        <f t="shared" si="4"/>
        <v xml:space="preserve"> update person
  set  id_card_no = '049186000306'
 where  id = (select employee.id from employee where employee_code='VM111');</v>
      </c>
      <c r="U99" s="34" t="str">
        <f t="shared" si="3"/>
        <v>update employee
  set  print_name_e = 'Nguyễn Thị Mơ Dung',
       print_name_l = 'Nguyễn Thị Mơ Dung'
 where   employee_code='VM111';</v>
      </c>
    </row>
    <row r="100" spans="1:21" s="19" customFormat="1" ht="18" customHeight="1">
      <c r="A100" s="8" t="s">
        <v>612</v>
      </c>
      <c r="B100" s="9" t="s">
        <v>613</v>
      </c>
      <c r="C100" s="10">
        <v>31742</v>
      </c>
      <c r="D100" s="8" t="s">
        <v>14</v>
      </c>
      <c r="E100" s="9" t="s">
        <v>517</v>
      </c>
      <c r="F100" s="9" t="s">
        <v>614</v>
      </c>
      <c r="G100" s="11" t="s">
        <v>20</v>
      </c>
      <c r="H100" s="22" t="s">
        <v>15</v>
      </c>
      <c r="I100" s="11" t="s">
        <v>63</v>
      </c>
      <c r="J100" s="9" t="s">
        <v>615</v>
      </c>
      <c r="K100" s="15">
        <v>42419</v>
      </c>
      <c r="L100" s="21" t="s">
        <v>1068</v>
      </c>
      <c r="M100" s="9"/>
      <c r="N100" s="15" t="s">
        <v>55</v>
      </c>
      <c r="O100" s="8" t="s">
        <v>616</v>
      </c>
      <c r="P100" s="9" t="s">
        <v>617</v>
      </c>
      <c r="Q100" s="16" t="s">
        <v>618</v>
      </c>
      <c r="R100" s="17">
        <v>44858</v>
      </c>
      <c r="S100" s="18" t="s">
        <v>58</v>
      </c>
      <c r="T100" s="19" t="str">
        <f t="shared" si="4"/>
        <v xml:space="preserve"> update person
  set  id_card_no = '080086000422'
 where  id = (select employee.id from employee where employee_code='VM202');</v>
      </c>
      <c r="U100" s="34" t="str">
        <f t="shared" si="3"/>
        <v>update employee
  set  print_name_e = 'BS. Đặng Công Lễ',
       print_name_l = 'BS. Đặng Công Lễ'
 where   employee_code='VM202';</v>
      </c>
    </row>
    <row r="101" spans="1:21" s="19" customFormat="1" ht="18" customHeight="1">
      <c r="A101" s="8" t="s">
        <v>619</v>
      </c>
      <c r="B101" s="9" t="s">
        <v>620</v>
      </c>
      <c r="C101" s="10">
        <v>34659</v>
      </c>
      <c r="D101" s="8" t="s">
        <v>14</v>
      </c>
      <c r="E101" s="9" t="s">
        <v>621</v>
      </c>
      <c r="F101" s="9" t="s">
        <v>614</v>
      </c>
      <c r="G101" s="11" t="s">
        <v>591</v>
      </c>
      <c r="H101" s="22" t="s">
        <v>526</v>
      </c>
      <c r="I101" s="11" t="s">
        <v>63</v>
      </c>
      <c r="J101" s="9" t="s">
        <v>622</v>
      </c>
      <c r="K101" s="15">
        <v>44963</v>
      </c>
      <c r="L101" s="21" t="s">
        <v>1071</v>
      </c>
      <c r="M101" s="9"/>
      <c r="N101" s="15" t="s">
        <v>55</v>
      </c>
      <c r="O101" s="8" t="s">
        <v>623</v>
      </c>
      <c r="P101" s="9" t="s">
        <v>620</v>
      </c>
      <c r="Q101" s="16" t="s">
        <v>624</v>
      </c>
      <c r="R101" s="17">
        <v>44297</v>
      </c>
      <c r="S101" s="18" t="s">
        <v>58</v>
      </c>
      <c r="T101" s="19" t="str">
        <f t="shared" si="4"/>
        <v xml:space="preserve"> update person
  set  id_card_no = '080094001100'
 where  id = (select employee.id from employee where employee_code='VM092');</v>
      </c>
      <c r="U101" s="34" t="str">
        <f t="shared" si="3"/>
        <v>update employee
  set  print_name_e = 'Lê Nguyễn Hoàng Anh Khoa',
       print_name_l = 'Lê Nguyễn Hoàng Anh Khoa'
 where   employee_code='VM092';</v>
      </c>
    </row>
    <row r="102" spans="1:21" s="19" customFormat="1" ht="18" customHeight="1">
      <c r="A102" s="8" t="s">
        <v>625</v>
      </c>
      <c r="B102" s="9" t="s">
        <v>626</v>
      </c>
      <c r="C102" s="10" t="s">
        <v>40</v>
      </c>
      <c r="D102" s="8" t="s">
        <v>16</v>
      </c>
      <c r="E102" s="9" t="s">
        <v>98</v>
      </c>
      <c r="F102" s="9" t="s">
        <v>614</v>
      </c>
      <c r="G102" s="11" t="s">
        <v>627</v>
      </c>
      <c r="H102" s="22" t="s">
        <v>15</v>
      </c>
      <c r="I102" s="11" t="s">
        <v>63</v>
      </c>
      <c r="J102" s="9" t="s">
        <v>628</v>
      </c>
      <c r="K102" s="15" t="s">
        <v>629</v>
      </c>
      <c r="L102" s="21" t="s">
        <v>1068</v>
      </c>
      <c r="M102" s="9"/>
      <c r="N102" s="15" t="s">
        <v>55</v>
      </c>
      <c r="O102" s="8" t="s">
        <v>630</v>
      </c>
      <c r="P102" s="9" t="s">
        <v>626</v>
      </c>
      <c r="Q102" s="16" t="s">
        <v>631</v>
      </c>
      <c r="R102" s="17" t="s">
        <v>632</v>
      </c>
      <c r="S102" s="18" t="s">
        <v>58</v>
      </c>
      <c r="T102" s="19" t="str">
        <f t="shared" si="4"/>
        <v xml:space="preserve"> update person
  set  id_card_no = '079197004471'
 where  id = (select employee.id from employee where employee_code='VM165');</v>
      </c>
      <c r="U102" s="34" t="str">
        <f t="shared" si="3"/>
        <v>update employee
  set  print_name_e = 'Nguyễn Ngọc Mai Trâm',
       print_name_l = 'Nguyễn Ngọc Mai Trâm'
 where   employee_code='VM165';</v>
      </c>
    </row>
    <row r="103" spans="1:21" s="19" customFormat="1" ht="18" customHeight="1">
      <c r="A103" s="8" t="s">
        <v>633</v>
      </c>
      <c r="B103" s="9" t="s">
        <v>634</v>
      </c>
      <c r="C103" s="10">
        <v>34330</v>
      </c>
      <c r="D103" s="8" t="s">
        <v>14</v>
      </c>
      <c r="E103" s="9" t="s">
        <v>517</v>
      </c>
      <c r="F103" s="9" t="s">
        <v>614</v>
      </c>
      <c r="G103" s="11" t="s">
        <v>635</v>
      </c>
      <c r="H103" s="22" t="s">
        <v>15</v>
      </c>
      <c r="I103" s="11" t="s">
        <v>1066</v>
      </c>
      <c r="J103" s="9"/>
      <c r="K103" s="15"/>
      <c r="L103" s="21"/>
      <c r="M103" s="9"/>
      <c r="N103" s="15" t="s">
        <v>55</v>
      </c>
      <c r="O103" s="8" t="s">
        <v>636</v>
      </c>
      <c r="P103" s="9" t="s">
        <v>634</v>
      </c>
      <c r="Q103" s="16" t="s">
        <v>637</v>
      </c>
      <c r="R103" s="17">
        <v>44345</v>
      </c>
      <c r="S103" s="18" t="s">
        <v>58</v>
      </c>
      <c r="T103" s="19" t="str">
        <f t="shared" si="4"/>
        <v xml:space="preserve"> update person
  set  id_card_no = '079093013472'
 where  id = (select employee.id from employee where employee_code='VM150');</v>
      </c>
      <c r="U103" s="34" t="str">
        <f t="shared" si="3"/>
        <v>update employee
  set  print_name_e = 'Lê Hoàng Mỹ',
       print_name_l = 'Lê Hoàng Mỹ'
 where   employee_code='VM150';</v>
      </c>
    </row>
    <row r="104" spans="1:21" s="19" customFormat="1" ht="18" customHeight="1">
      <c r="A104" s="8" t="s">
        <v>638</v>
      </c>
      <c r="B104" s="9" t="s">
        <v>639</v>
      </c>
      <c r="C104" s="10">
        <v>29565</v>
      </c>
      <c r="D104" s="8" t="s">
        <v>14</v>
      </c>
      <c r="E104" s="9" t="s">
        <v>640</v>
      </c>
      <c r="F104" s="9" t="s">
        <v>641</v>
      </c>
      <c r="G104" s="11" t="s">
        <v>20</v>
      </c>
      <c r="H104" s="22" t="s">
        <v>15</v>
      </c>
      <c r="I104" s="11" t="s">
        <v>63</v>
      </c>
      <c r="J104" s="9" t="s">
        <v>642</v>
      </c>
      <c r="K104" s="15">
        <v>41974</v>
      </c>
      <c r="L104" s="21" t="s">
        <v>1072</v>
      </c>
      <c r="M104" s="9" t="s">
        <v>641</v>
      </c>
      <c r="N104" s="15" t="s">
        <v>55</v>
      </c>
      <c r="O104" s="8" t="s">
        <v>643</v>
      </c>
      <c r="P104" s="9" t="s">
        <v>644</v>
      </c>
      <c r="Q104" s="16" t="s">
        <v>645</v>
      </c>
      <c r="R104" s="17">
        <v>44632</v>
      </c>
      <c r="S104" s="18" t="s">
        <v>58</v>
      </c>
      <c r="T104" s="19" t="str">
        <f t="shared" si="4"/>
        <v xml:space="preserve"> update person
  set  id_card_no = '038080022502'
 where  id = (select employee.id from employee where employee_code='VM221');</v>
      </c>
      <c r="U104" s="34" t="str">
        <f t="shared" si="3"/>
        <v>update employee
  set  print_name_e = 'BS. Đinh Văn Thành',
       print_name_l = 'BS. Đinh Văn Thành'
 where   employee_code='VM221';</v>
      </c>
    </row>
    <row r="105" spans="1:21" s="19" customFormat="1" ht="18" customHeight="1">
      <c r="A105" s="8" t="s">
        <v>646</v>
      </c>
      <c r="B105" s="9" t="s">
        <v>647</v>
      </c>
      <c r="C105" s="10">
        <v>34735</v>
      </c>
      <c r="D105" s="8" t="s">
        <v>14</v>
      </c>
      <c r="E105" s="9" t="s">
        <v>648</v>
      </c>
      <c r="F105" s="9" t="s">
        <v>641</v>
      </c>
      <c r="G105" s="11" t="s">
        <v>20</v>
      </c>
      <c r="H105" s="22" t="s">
        <v>15</v>
      </c>
      <c r="I105" s="11" t="s">
        <v>1063</v>
      </c>
      <c r="J105" s="11" t="s">
        <v>649</v>
      </c>
      <c r="K105" s="15">
        <v>45924</v>
      </c>
      <c r="L105" s="21" t="s">
        <v>1068</v>
      </c>
      <c r="M105" s="9" t="s">
        <v>641</v>
      </c>
      <c r="N105" s="15" t="s">
        <v>55</v>
      </c>
      <c r="O105" s="8" t="s">
        <v>650</v>
      </c>
      <c r="P105" s="9" t="s">
        <v>647</v>
      </c>
      <c r="Q105" s="16" t="s">
        <v>651</v>
      </c>
      <c r="R105" s="17">
        <v>44817</v>
      </c>
      <c r="S105" s="18" t="s">
        <v>58</v>
      </c>
      <c r="T105" s="19" t="str">
        <f t="shared" si="4"/>
        <v xml:space="preserve"> update person
  set  id_card_no = '066095020104'
 where  id = (select employee.id from employee where employee_code='VM147');</v>
      </c>
      <c r="U105" s="34" t="str">
        <f t="shared" si="3"/>
        <v>update employee
  set  print_name_e = 'Ngô Đặng Phú Phước',
       print_name_l = 'Ngô Đặng Phú Phước'
 where   employee_code='VM147';</v>
      </c>
    </row>
    <row r="106" spans="1:21" s="19" customFormat="1" ht="18" customHeight="1">
      <c r="A106" s="8" t="s">
        <v>652</v>
      </c>
      <c r="B106" s="9" t="s">
        <v>653</v>
      </c>
      <c r="C106" s="10">
        <v>34168</v>
      </c>
      <c r="D106" s="8" t="s">
        <v>16</v>
      </c>
      <c r="E106" s="9" t="s">
        <v>654</v>
      </c>
      <c r="F106" s="9" t="s">
        <v>641</v>
      </c>
      <c r="G106" s="11" t="s">
        <v>20</v>
      </c>
      <c r="H106" s="22" t="s">
        <v>15</v>
      </c>
      <c r="I106" s="11" t="s">
        <v>63</v>
      </c>
      <c r="J106" s="11" t="s">
        <v>655</v>
      </c>
      <c r="K106" s="15">
        <v>44288</v>
      </c>
      <c r="L106" s="21" t="s">
        <v>1073</v>
      </c>
      <c r="M106" s="9" t="s">
        <v>641</v>
      </c>
      <c r="N106" s="15" t="s">
        <v>55</v>
      </c>
      <c r="O106" s="8" t="s">
        <v>656</v>
      </c>
      <c r="P106" s="9" t="s">
        <v>657</v>
      </c>
      <c r="Q106" s="16" t="s">
        <v>658</v>
      </c>
      <c r="R106" s="17">
        <v>44816</v>
      </c>
      <c r="S106" s="18" t="s">
        <v>58</v>
      </c>
      <c r="T106" s="19" t="str">
        <f t="shared" si="4"/>
        <v xml:space="preserve"> update person
  set  id_card_no = '068193007808'
 where  id = (select employee.id from employee where employee_code='VM144');</v>
      </c>
      <c r="U106" s="34" t="str">
        <f t="shared" si="3"/>
        <v>update employee
  set  print_name_e = 'BS. Tôn Nữ Phương Duyên',
       print_name_l = 'BS. Tôn Nữ Phương Duyên'
 where   employee_code='VM144';</v>
      </c>
    </row>
    <row r="107" spans="1:21" s="19" customFormat="1" ht="18" customHeight="1">
      <c r="A107" s="8" t="s">
        <v>659</v>
      </c>
      <c r="B107" s="9" t="s">
        <v>660</v>
      </c>
      <c r="C107" s="10">
        <v>34829</v>
      </c>
      <c r="D107" s="8" t="s">
        <v>14</v>
      </c>
      <c r="E107" s="9" t="s">
        <v>661</v>
      </c>
      <c r="F107" s="9" t="s">
        <v>641</v>
      </c>
      <c r="G107" s="11" t="s">
        <v>20</v>
      </c>
      <c r="H107" s="22" t="s">
        <v>15</v>
      </c>
      <c r="I107" s="11" t="s">
        <v>63</v>
      </c>
      <c r="J107" s="9" t="s">
        <v>662</v>
      </c>
      <c r="K107" s="15">
        <v>44964</v>
      </c>
      <c r="L107" s="21" t="s">
        <v>1068</v>
      </c>
      <c r="M107" s="9" t="s">
        <v>641</v>
      </c>
      <c r="N107" s="15" t="s">
        <v>55</v>
      </c>
      <c r="O107" s="8" t="s">
        <v>663</v>
      </c>
      <c r="P107" s="9" t="s">
        <v>664</v>
      </c>
      <c r="Q107" s="16" t="s">
        <v>665</v>
      </c>
      <c r="R107" s="17">
        <v>45538</v>
      </c>
      <c r="S107" s="18" t="s">
        <v>48</v>
      </c>
      <c r="T107" s="19" t="str">
        <f t="shared" si="4"/>
        <v xml:space="preserve"> update person
  set  id_card_no = '079095013210'
 where  id = (select employee.id from employee where employee_code='VM213');</v>
      </c>
      <c r="U107" s="34" t="str">
        <f t="shared" si="3"/>
        <v>update employee
  set  print_name_e = 'BS. Nguyễn Đức Hưng',
       print_name_l = 'BS. Nguyễn Đức Hưng'
 where   employee_code='VM213';</v>
      </c>
    </row>
    <row r="108" spans="1:21" s="19" customFormat="1" ht="18" customHeight="1">
      <c r="A108" s="8" t="s">
        <v>666</v>
      </c>
      <c r="B108" s="9" t="s">
        <v>667</v>
      </c>
      <c r="C108" s="10">
        <v>34741</v>
      </c>
      <c r="D108" s="8" t="s">
        <v>14</v>
      </c>
      <c r="E108" s="9" t="s">
        <v>264</v>
      </c>
      <c r="F108" s="9" t="s">
        <v>641</v>
      </c>
      <c r="G108" s="11" t="s">
        <v>20</v>
      </c>
      <c r="H108" s="22" t="s">
        <v>15</v>
      </c>
      <c r="I108" s="11" t="s">
        <v>63</v>
      </c>
      <c r="J108" s="9" t="s">
        <v>668</v>
      </c>
      <c r="K108" s="15">
        <v>44692</v>
      </c>
      <c r="L108" s="21" t="s">
        <v>1068</v>
      </c>
      <c r="M108" s="9" t="s">
        <v>641</v>
      </c>
      <c r="N108" s="15" t="s">
        <v>55</v>
      </c>
      <c r="O108" s="8" t="s">
        <v>669</v>
      </c>
      <c r="P108" s="9" t="s">
        <v>670</v>
      </c>
      <c r="Q108" s="16" t="s">
        <v>671</v>
      </c>
      <c r="R108" s="17">
        <v>45222</v>
      </c>
      <c r="S108" s="18" t="s">
        <v>58</v>
      </c>
      <c r="T108" s="19" t="str">
        <f t="shared" si="4"/>
        <v xml:space="preserve"> update person
  set  id_card_no = '034095010601'
 where  id = (select employee.id from employee where employee_code='VM258');</v>
      </c>
      <c r="U108" s="34" t="str">
        <f t="shared" si="3"/>
        <v>update employee
  set  print_name_e = 'BS. Đoàn Nguyên Bình',
       print_name_l = 'BS. Đoàn Nguyên Bình'
 where   employee_code='VM258';</v>
      </c>
    </row>
    <row r="109" spans="1:21" s="19" customFormat="1" ht="18" customHeight="1">
      <c r="A109" s="8" t="s">
        <v>672</v>
      </c>
      <c r="B109" s="9" t="s">
        <v>673</v>
      </c>
      <c r="C109" s="10">
        <v>30374</v>
      </c>
      <c r="D109" s="8" t="s">
        <v>16</v>
      </c>
      <c r="E109" s="9" t="s">
        <v>674</v>
      </c>
      <c r="F109" s="9" t="s">
        <v>641</v>
      </c>
      <c r="G109" s="11" t="s">
        <v>591</v>
      </c>
      <c r="H109" s="22" t="s">
        <v>526</v>
      </c>
      <c r="I109" s="11" t="s">
        <v>63</v>
      </c>
      <c r="J109" s="9" t="s">
        <v>675</v>
      </c>
      <c r="K109" s="15">
        <v>44006</v>
      </c>
      <c r="L109" s="21" t="s">
        <v>1068</v>
      </c>
      <c r="M109" s="9" t="s">
        <v>641</v>
      </c>
      <c r="N109" s="15" t="s">
        <v>55</v>
      </c>
      <c r="O109" s="8" t="s">
        <v>676</v>
      </c>
      <c r="P109" s="9" t="s">
        <v>673</v>
      </c>
      <c r="Q109" s="16" t="s">
        <v>677</v>
      </c>
      <c r="R109" s="17">
        <v>44387</v>
      </c>
      <c r="S109" s="18" t="s">
        <v>58</v>
      </c>
      <c r="T109" s="19" t="str">
        <f t="shared" si="4"/>
        <v xml:space="preserve"> update person
  set  id_card_no = '079183028825'
 where  id = (select employee.id from employee where employee_code='VM156');</v>
      </c>
      <c r="U109" s="34" t="str">
        <f t="shared" si="3"/>
        <v>update employee
  set  print_name_e = 'Huỳnh Thị Tuyết Trinh',
       print_name_l = 'Huỳnh Thị Tuyết Trinh'
 where   employee_code='VM156';</v>
      </c>
    </row>
    <row r="110" spans="1:21" s="19" customFormat="1" ht="18" customHeight="1">
      <c r="A110" s="8" t="s">
        <v>678</v>
      </c>
      <c r="B110" s="9" t="s">
        <v>36</v>
      </c>
      <c r="C110" s="10">
        <v>34793</v>
      </c>
      <c r="D110" s="8" t="s">
        <v>16</v>
      </c>
      <c r="E110" s="9" t="s">
        <v>679</v>
      </c>
      <c r="F110" s="9" t="s">
        <v>641</v>
      </c>
      <c r="G110" s="11" t="s">
        <v>680</v>
      </c>
      <c r="H110" s="22" t="s">
        <v>15</v>
      </c>
      <c r="I110" s="11" t="s">
        <v>845</v>
      </c>
      <c r="J110" s="9" t="s">
        <v>681</v>
      </c>
      <c r="K110" s="15">
        <v>45898</v>
      </c>
      <c r="L110" s="21" t="s">
        <v>1068</v>
      </c>
      <c r="M110" s="9" t="s">
        <v>641</v>
      </c>
      <c r="N110" s="15" t="s">
        <v>55</v>
      </c>
      <c r="O110" s="8" t="s">
        <v>682</v>
      </c>
      <c r="P110" s="9" t="s">
        <v>36</v>
      </c>
      <c r="Q110" s="16" t="s">
        <v>683</v>
      </c>
      <c r="R110" s="17">
        <v>44387</v>
      </c>
      <c r="S110" s="18" t="s">
        <v>58</v>
      </c>
      <c r="T110" s="19" t="str">
        <f t="shared" si="4"/>
        <v xml:space="preserve"> update person
  set  id_card_no = '026195000524'
 where  id = (select employee.id from employee where employee_code='VM112');</v>
      </c>
      <c r="U110" s="34" t="str">
        <f t="shared" si="3"/>
        <v>update employee
  set  print_name_e = 'Nguyễn Thị Hồng',
       print_name_l = 'Nguyễn Thị Hồng'
 where   employee_code='VM112';</v>
      </c>
    </row>
    <row r="111" spans="1:21" s="19" customFormat="1" ht="18" customHeight="1">
      <c r="A111" s="8" t="s">
        <v>684</v>
      </c>
      <c r="B111" s="9" t="s">
        <v>685</v>
      </c>
      <c r="C111" s="10">
        <v>33724</v>
      </c>
      <c r="D111" s="8" t="s">
        <v>16</v>
      </c>
      <c r="E111" s="9" t="s">
        <v>686</v>
      </c>
      <c r="F111" s="9" t="s">
        <v>641</v>
      </c>
      <c r="G111" s="11" t="s">
        <v>687</v>
      </c>
      <c r="H111" s="22" t="s">
        <v>15</v>
      </c>
      <c r="I111" s="11" t="s">
        <v>63</v>
      </c>
      <c r="J111" s="9" t="s">
        <v>688</v>
      </c>
      <c r="K111" s="15">
        <v>42195</v>
      </c>
      <c r="L111" s="21" t="s">
        <v>689</v>
      </c>
      <c r="M111" s="9" t="s">
        <v>641</v>
      </c>
      <c r="N111" s="15" t="s">
        <v>55</v>
      </c>
      <c r="O111" s="8" t="s">
        <v>690</v>
      </c>
      <c r="P111" s="9" t="s">
        <v>685</v>
      </c>
      <c r="Q111" s="16" t="s">
        <v>691</v>
      </c>
      <c r="R111" s="17">
        <v>44305</v>
      </c>
      <c r="S111" s="18" t="s">
        <v>58</v>
      </c>
      <c r="T111" s="19" t="str">
        <f t="shared" si="4"/>
        <v xml:space="preserve"> update person
  set  id_card_no = '079192016135'
 where  id = (select employee.id from employee where employee_code='VM143');</v>
      </c>
      <c r="U111" s="34" t="str">
        <f t="shared" si="3"/>
        <v>update employee
  set  print_name_e = 'Tô Ngọc Bích',
       print_name_l = 'Tô Ngọc Bích'
 where   employee_code='VM143';</v>
      </c>
    </row>
    <row r="112" spans="1:21" s="19" customFormat="1" ht="18" customHeight="1">
      <c r="A112" s="8" t="s">
        <v>692</v>
      </c>
      <c r="B112" s="9" t="s">
        <v>693</v>
      </c>
      <c r="C112" s="10">
        <v>37926</v>
      </c>
      <c r="D112" s="8" t="s">
        <v>16</v>
      </c>
      <c r="E112" s="9" t="s">
        <v>694</v>
      </c>
      <c r="F112" s="9" t="s">
        <v>641</v>
      </c>
      <c r="G112" s="11" t="s">
        <v>687</v>
      </c>
      <c r="H112" s="22" t="s">
        <v>15</v>
      </c>
      <c r="I112" s="11" t="s">
        <v>845</v>
      </c>
      <c r="J112" s="11" t="s">
        <v>695</v>
      </c>
      <c r="K112" s="15">
        <v>45919</v>
      </c>
      <c r="L112" s="21" t="s">
        <v>1074</v>
      </c>
      <c r="M112" s="9" t="s">
        <v>641</v>
      </c>
      <c r="N112" s="15" t="s">
        <v>55</v>
      </c>
      <c r="O112" s="8" t="s">
        <v>696</v>
      </c>
      <c r="P112" s="9" t="s">
        <v>693</v>
      </c>
      <c r="Q112" s="16" t="s">
        <v>697</v>
      </c>
      <c r="R112" s="17">
        <v>44461</v>
      </c>
      <c r="S112" s="18" t="s">
        <v>58</v>
      </c>
      <c r="T112" s="19" t="str">
        <f t="shared" si="4"/>
        <v xml:space="preserve"> update person
  set  id_card_no = '091303011757'
 where  id = (select employee.id from employee where employee_code='VM198');</v>
      </c>
      <c r="U112" s="34" t="str">
        <f t="shared" si="3"/>
        <v>update employee
  set  print_name_e = 'Phạm Hải Ngọc',
       print_name_l = 'Phạm Hải Ngọc'
 where   employee_code='VM198';</v>
      </c>
    </row>
    <row r="113" spans="1:21" s="19" customFormat="1" ht="18" customHeight="1">
      <c r="A113" s="8" t="s">
        <v>698</v>
      </c>
      <c r="B113" s="9" t="s">
        <v>699</v>
      </c>
      <c r="C113" s="10">
        <v>36391</v>
      </c>
      <c r="D113" s="8" t="s">
        <v>16</v>
      </c>
      <c r="E113" s="9" t="s">
        <v>264</v>
      </c>
      <c r="F113" s="9" t="s">
        <v>641</v>
      </c>
      <c r="G113" s="11" t="s">
        <v>687</v>
      </c>
      <c r="H113" s="22" t="s">
        <v>15</v>
      </c>
      <c r="I113" s="11" t="s">
        <v>63</v>
      </c>
      <c r="J113" s="9" t="s">
        <v>700</v>
      </c>
      <c r="K113" s="15">
        <v>44698</v>
      </c>
      <c r="L113" s="21" t="s">
        <v>1068</v>
      </c>
      <c r="M113" s="9" t="s">
        <v>641</v>
      </c>
      <c r="N113" s="15" t="s">
        <v>55</v>
      </c>
      <c r="O113" s="8" t="s">
        <v>701</v>
      </c>
      <c r="P113" s="9" t="s">
        <v>699</v>
      </c>
      <c r="Q113" s="16" t="s">
        <v>702</v>
      </c>
      <c r="R113" s="17">
        <v>45646</v>
      </c>
      <c r="S113" s="18" t="s">
        <v>48</v>
      </c>
      <c r="T113" s="19" t="str">
        <f t="shared" si="4"/>
        <v xml:space="preserve"> update person
  set  id_card_no = '079199016557'
 where  id = (select employee.id from employee where employee_code='VM211');</v>
      </c>
      <c r="U113" s="34" t="str">
        <f t="shared" si="3"/>
        <v>update employee
  set  print_name_e = 'Trịnh Thị Bích Phượng',
       print_name_l = 'Trịnh Thị Bích Phượng'
 where   employee_code='VM211';</v>
      </c>
    </row>
    <row r="114" spans="1:21" s="19" customFormat="1" ht="18" customHeight="1">
      <c r="A114" s="8" t="s">
        <v>703</v>
      </c>
      <c r="B114" s="9" t="s">
        <v>704</v>
      </c>
      <c r="C114" s="10">
        <v>36156</v>
      </c>
      <c r="D114" s="8" t="s">
        <v>16</v>
      </c>
      <c r="E114" s="9" t="s">
        <v>705</v>
      </c>
      <c r="F114" s="9" t="s">
        <v>641</v>
      </c>
      <c r="G114" s="11" t="s">
        <v>687</v>
      </c>
      <c r="H114" s="22" t="s">
        <v>15</v>
      </c>
      <c r="I114" s="11" t="s">
        <v>845</v>
      </c>
      <c r="J114" s="11" t="s">
        <v>706</v>
      </c>
      <c r="K114" s="15">
        <v>45209</v>
      </c>
      <c r="L114" s="21" t="s">
        <v>689</v>
      </c>
      <c r="M114" s="9" t="s">
        <v>641</v>
      </c>
      <c r="N114" s="15" t="s">
        <v>55</v>
      </c>
      <c r="O114" s="8" t="s">
        <v>707</v>
      </c>
      <c r="P114" s="9" t="s">
        <v>704</v>
      </c>
      <c r="Q114" s="16" t="s">
        <v>708</v>
      </c>
      <c r="R114" s="17">
        <v>44570</v>
      </c>
      <c r="S114" s="18" t="s">
        <v>58</v>
      </c>
      <c r="T114" s="19" t="str">
        <f t="shared" si="4"/>
        <v xml:space="preserve"> update person
  set  id_card_no = '080198006592'
 where  id = (select employee.id from employee where employee_code='VM212');</v>
      </c>
      <c r="U114" s="34" t="str">
        <f t="shared" si="3"/>
        <v>update employee
  set  print_name_e = 'Dương Thị Huỳnh Hoa',
       print_name_l = 'Dương Thị Huỳnh Hoa'
 where   employee_code='VM212';</v>
      </c>
    </row>
    <row r="115" spans="1:21" s="19" customFormat="1" ht="18" customHeight="1">
      <c r="A115" s="8" t="s">
        <v>709</v>
      </c>
      <c r="B115" s="9" t="s">
        <v>710</v>
      </c>
      <c r="C115" s="10">
        <v>37091</v>
      </c>
      <c r="D115" s="8" t="s">
        <v>16</v>
      </c>
      <c r="E115" s="9" t="s">
        <v>711</v>
      </c>
      <c r="F115" s="9" t="s">
        <v>641</v>
      </c>
      <c r="G115" s="11" t="s">
        <v>687</v>
      </c>
      <c r="H115" s="22" t="s">
        <v>15</v>
      </c>
      <c r="I115" s="11" t="s">
        <v>845</v>
      </c>
      <c r="J115" s="9" t="s">
        <v>712</v>
      </c>
      <c r="K115" s="15">
        <v>46133</v>
      </c>
      <c r="L115" s="21" t="s">
        <v>1068</v>
      </c>
      <c r="M115" s="9" t="s">
        <v>641</v>
      </c>
      <c r="N115" s="15" t="s">
        <v>55</v>
      </c>
      <c r="O115" s="8" t="s">
        <v>713</v>
      </c>
      <c r="P115" s="9" t="s">
        <v>710</v>
      </c>
      <c r="Q115" s="16" t="s">
        <v>714</v>
      </c>
      <c r="R115" s="17">
        <v>46159</v>
      </c>
      <c r="S115" s="18" t="s">
        <v>48</v>
      </c>
      <c r="T115" s="19" t="str">
        <f t="shared" si="4"/>
        <v xml:space="preserve"> update person
  set  id_card_no = '058301005133'
 where  id = (select employee.id from employee where employee_code='VM243');</v>
      </c>
      <c r="U115" s="34" t="str">
        <f t="shared" si="3"/>
        <v>update employee
  set  print_name_e = 'Võ Thị Thu Trang',
       print_name_l = 'Võ Thị Thu Trang'
 where   employee_code='VM243';</v>
      </c>
    </row>
    <row r="116" spans="1:21" s="19" customFormat="1" ht="18" customHeight="1">
      <c r="A116" s="8" t="s">
        <v>715</v>
      </c>
      <c r="B116" s="9" t="s">
        <v>716</v>
      </c>
      <c r="C116" s="10">
        <v>34689</v>
      </c>
      <c r="D116" s="8" t="s">
        <v>16</v>
      </c>
      <c r="E116" s="9" t="s">
        <v>1082</v>
      </c>
      <c r="F116" s="9" t="s">
        <v>641</v>
      </c>
      <c r="G116" s="11" t="s">
        <v>687</v>
      </c>
      <c r="H116" s="22" t="s">
        <v>15</v>
      </c>
      <c r="I116" s="11" t="s">
        <v>845</v>
      </c>
      <c r="J116" s="9" t="s">
        <v>717</v>
      </c>
      <c r="K116" s="15">
        <v>43012</v>
      </c>
      <c r="L116" s="21" t="s">
        <v>1068</v>
      </c>
      <c r="M116" s="9" t="s">
        <v>641</v>
      </c>
      <c r="N116" s="15" t="s">
        <v>55</v>
      </c>
      <c r="O116" s="8" t="s">
        <v>718</v>
      </c>
      <c r="P116" s="9" t="s">
        <v>716</v>
      </c>
      <c r="Q116" s="16" t="s">
        <v>719</v>
      </c>
      <c r="R116" s="17">
        <v>44417</v>
      </c>
      <c r="S116" s="18" t="s">
        <v>58</v>
      </c>
      <c r="T116" s="19" t="str">
        <f t="shared" si="4"/>
        <v xml:space="preserve"> update person
  set  id_card_no = '066194008741'
 where  id = (select employee.id from employee where employee_code='VM249');</v>
      </c>
      <c r="U116" s="34" t="str">
        <f t="shared" si="3"/>
        <v>update employee
  set  print_name_e = 'Phan Thị Mỹ Hảo',
       print_name_l = 'Phan Thị Mỹ Hảo'
 where   employee_code='VM249';</v>
      </c>
    </row>
    <row r="117" spans="1:21" s="19" customFormat="1" ht="18" customHeight="1">
      <c r="A117" s="8" t="s">
        <v>720</v>
      </c>
      <c r="B117" s="9" t="s">
        <v>721</v>
      </c>
      <c r="C117" s="10">
        <v>30602</v>
      </c>
      <c r="D117" s="8" t="s">
        <v>14</v>
      </c>
      <c r="E117" s="9" t="s">
        <v>162</v>
      </c>
      <c r="F117" s="9" t="s">
        <v>722</v>
      </c>
      <c r="G117" s="11" t="s">
        <v>21</v>
      </c>
      <c r="H117" s="22" t="s">
        <v>21</v>
      </c>
      <c r="I117" s="11" t="s">
        <v>63</v>
      </c>
      <c r="J117" s="9" t="s">
        <v>723</v>
      </c>
      <c r="K117" s="15">
        <v>45258</v>
      </c>
      <c r="L117" s="21" t="s">
        <v>1068</v>
      </c>
      <c r="M117" s="9"/>
      <c r="N117" s="15" t="s">
        <v>55</v>
      </c>
      <c r="O117" s="8" t="s">
        <v>724</v>
      </c>
      <c r="P117" s="9" t="s">
        <v>725</v>
      </c>
      <c r="Q117" s="16" t="s">
        <v>726</v>
      </c>
      <c r="R117" s="17">
        <v>44552</v>
      </c>
      <c r="S117" s="18" t="s">
        <v>58</v>
      </c>
      <c r="T117" s="19" t="str">
        <f t="shared" si="4"/>
        <v xml:space="preserve"> update person
  set  id_card_no = '079083012191'
 where  id = (select employee.id from employee where employee_code='VM072');</v>
      </c>
      <c r="U117" s="34" t="str">
        <f t="shared" si="3"/>
        <v>update employee
  set  print_name_e = 'ThS. BS. Nguyễn Quốc Anh',
       print_name_l = 'ThS. BS. Nguyễn Quốc Anh'
 where   employee_code='VM072';</v>
      </c>
    </row>
    <row r="118" spans="1:21" s="19" customFormat="1" ht="18" customHeight="1">
      <c r="A118" s="8" t="s">
        <v>727</v>
      </c>
      <c r="B118" s="9" t="s">
        <v>728</v>
      </c>
      <c r="C118" s="10">
        <v>35936</v>
      </c>
      <c r="D118" s="8" t="s">
        <v>16</v>
      </c>
      <c r="E118" s="9" t="s">
        <v>729</v>
      </c>
      <c r="F118" s="9" t="s">
        <v>722</v>
      </c>
      <c r="G118" s="11" t="s">
        <v>20</v>
      </c>
      <c r="H118" s="22" t="s">
        <v>15</v>
      </c>
      <c r="I118" s="11" t="s">
        <v>63</v>
      </c>
      <c r="J118" s="9" t="s">
        <v>730</v>
      </c>
      <c r="K118" s="15">
        <v>45565</v>
      </c>
      <c r="L118" s="21" t="s">
        <v>1068</v>
      </c>
      <c r="M118" s="9"/>
      <c r="N118" s="15" t="s">
        <v>55</v>
      </c>
      <c r="O118" s="8" t="s">
        <v>731</v>
      </c>
      <c r="P118" s="9" t="s">
        <v>732</v>
      </c>
      <c r="Q118" s="16" t="s">
        <v>733</v>
      </c>
      <c r="R118" s="17">
        <v>44596</v>
      </c>
      <c r="S118" s="18" t="s">
        <v>58</v>
      </c>
      <c r="T118" s="19" t="str">
        <f t="shared" si="4"/>
        <v xml:space="preserve"> update person
  set  id_card_no = '080198012203'
 where  id = (select employee.id from employee where employee_code='VM073');</v>
      </c>
      <c r="U118" s="34" t="str">
        <f t="shared" si="3"/>
        <v>update employee
  set  print_name_e = 'BS. Ngô Thị Tuyết Nhi',
       print_name_l = 'BS. Ngô Thị Tuyết Nhi'
 where   employee_code='VM073';</v>
      </c>
    </row>
    <row r="119" spans="1:21" s="19" customFormat="1" ht="18" customHeight="1">
      <c r="A119" s="8" t="s">
        <v>734</v>
      </c>
      <c r="B119" s="9" t="s">
        <v>26</v>
      </c>
      <c r="C119" s="10">
        <v>33637</v>
      </c>
      <c r="D119" s="8" t="s">
        <v>14</v>
      </c>
      <c r="E119" s="9" t="s">
        <v>735</v>
      </c>
      <c r="F119" s="9" t="s">
        <v>722</v>
      </c>
      <c r="G119" s="11" t="s">
        <v>20</v>
      </c>
      <c r="H119" s="22" t="s">
        <v>15</v>
      </c>
      <c r="I119" s="11" t="s">
        <v>63</v>
      </c>
      <c r="J119" s="11" t="s">
        <v>736</v>
      </c>
      <c r="K119" s="15">
        <v>45694</v>
      </c>
      <c r="L119" s="21" t="s">
        <v>1068</v>
      </c>
      <c r="M119" s="9"/>
      <c r="N119" s="15" t="s">
        <v>55</v>
      </c>
      <c r="O119" s="8" t="s">
        <v>737</v>
      </c>
      <c r="P119" s="9" t="s">
        <v>738</v>
      </c>
      <c r="Q119" s="16" t="s">
        <v>739</v>
      </c>
      <c r="R119" s="17">
        <v>44800</v>
      </c>
      <c r="S119" s="18" t="s">
        <v>58</v>
      </c>
      <c r="T119" s="19" t="str">
        <f t="shared" si="4"/>
        <v xml:space="preserve"> update person
  set  id_card_no = '031092003654'
 where  id = (select employee.id from employee where employee_code='VM105');</v>
      </c>
      <c r="U119" s="34" t="str">
        <f t="shared" si="3"/>
        <v>update employee
  set  print_name_e = 'BS. Trần Quang Vinh',
       print_name_l = 'BS. Trần Quang Vinh'
 where   employee_code='VM105';</v>
      </c>
    </row>
    <row r="120" spans="1:21" s="19" customFormat="1" ht="18" customHeight="1">
      <c r="A120" s="8" t="s">
        <v>740</v>
      </c>
      <c r="B120" s="9" t="s">
        <v>741</v>
      </c>
      <c r="C120" s="10">
        <v>27684</v>
      </c>
      <c r="D120" s="8" t="s">
        <v>16</v>
      </c>
      <c r="E120" s="9" t="s">
        <v>1084</v>
      </c>
      <c r="F120" s="9" t="s">
        <v>722</v>
      </c>
      <c r="G120" s="11" t="s">
        <v>20</v>
      </c>
      <c r="H120" s="22" t="s">
        <v>15</v>
      </c>
      <c r="I120" s="11" t="s">
        <v>1062</v>
      </c>
      <c r="J120" s="11" t="s">
        <v>742</v>
      </c>
      <c r="K120" s="15">
        <v>41425</v>
      </c>
      <c r="L120" s="21" t="s">
        <v>1068</v>
      </c>
      <c r="M120" s="9"/>
      <c r="N120" s="15" t="s">
        <v>55</v>
      </c>
      <c r="O120" s="8" t="s">
        <v>743</v>
      </c>
      <c r="P120" s="9" t="s">
        <v>744</v>
      </c>
      <c r="Q120" s="16" t="s">
        <v>745</v>
      </c>
      <c r="R120" s="17">
        <v>44305</v>
      </c>
      <c r="S120" s="18" t="s">
        <v>58</v>
      </c>
      <c r="T120" s="19" t="str">
        <f t="shared" si="4"/>
        <v xml:space="preserve"> update person
  set  id_card_no = '079175017600'
 where  id = (select employee.id from employee where employee_code='VM131');</v>
      </c>
      <c r="U120" s="34" t="str">
        <f t="shared" si="3"/>
        <v>update employee
  set  print_name_e = 'BS. Hoàng Thị Thu Ngân',
       print_name_l = 'BS. Hoàng Thị Thu Ngân'
 where   employee_code='VM131';</v>
      </c>
    </row>
    <row r="121" spans="1:21" s="19" customFormat="1" ht="18" customHeight="1">
      <c r="A121" s="8" t="s">
        <v>746</v>
      </c>
      <c r="B121" s="9" t="s">
        <v>747</v>
      </c>
      <c r="C121" s="10">
        <v>33750</v>
      </c>
      <c r="D121" s="8" t="s">
        <v>16</v>
      </c>
      <c r="E121" s="9" t="s">
        <v>674</v>
      </c>
      <c r="F121" s="9" t="s">
        <v>722</v>
      </c>
      <c r="G121" s="11" t="s">
        <v>20</v>
      </c>
      <c r="H121" s="22" t="s">
        <v>15</v>
      </c>
      <c r="I121" s="11" t="s">
        <v>63</v>
      </c>
      <c r="J121" s="9" t="s">
        <v>748</v>
      </c>
      <c r="K121" s="15">
        <v>43959</v>
      </c>
      <c r="L121" s="21" t="s">
        <v>1068</v>
      </c>
      <c r="M121" s="9"/>
      <c r="N121" s="15" t="s">
        <v>55</v>
      </c>
      <c r="O121" s="8" t="s">
        <v>749</v>
      </c>
      <c r="P121" s="9" t="s">
        <v>750</v>
      </c>
      <c r="Q121" s="16" t="s">
        <v>751</v>
      </c>
      <c r="R121" s="17">
        <v>44387</v>
      </c>
      <c r="S121" s="18" t="s">
        <v>58</v>
      </c>
      <c r="T121" s="19" t="str">
        <f t="shared" si="4"/>
        <v xml:space="preserve"> update person
  set  id_card_no = '058192006845'
 where  id = (select employee.id from employee where employee_code='VM074');</v>
      </c>
      <c r="U121" s="34" t="str">
        <f t="shared" si="3"/>
        <v>update employee
  set  print_name_e = 'ThS. BS. Đào Thanh Hương',
       print_name_l = 'ThS. BS. Đào Thanh Hương'
 where   employee_code='VM074';</v>
      </c>
    </row>
    <row r="122" spans="1:21" s="19" customFormat="1" ht="18" customHeight="1">
      <c r="A122" s="8" t="s">
        <v>752</v>
      </c>
      <c r="B122" s="9" t="s">
        <v>753</v>
      </c>
      <c r="C122" s="10">
        <v>34145</v>
      </c>
      <c r="D122" s="8" t="s">
        <v>14</v>
      </c>
      <c r="E122" s="9" t="s">
        <v>754</v>
      </c>
      <c r="F122" s="9" t="s">
        <v>722</v>
      </c>
      <c r="G122" s="11" t="s">
        <v>680</v>
      </c>
      <c r="H122" s="22" t="s">
        <v>15</v>
      </c>
      <c r="I122" s="11" t="s">
        <v>845</v>
      </c>
      <c r="J122" s="9" t="s">
        <v>755</v>
      </c>
      <c r="K122" s="15">
        <v>43775</v>
      </c>
      <c r="L122" s="21" t="s">
        <v>1068</v>
      </c>
      <c r="M122" s="9"/>
      <c r="N122" s="15" t="s">
        <v>55</v>
      </c>
      <c r="O122" s="8" t="s">
        <v>756</v>
      </c>
      <c r="P122" s="9" t="s">
        <v>753</v>
      </c>
      <c r="Q122" s="16" t="s">
        <v>757</v>
      </c>
      <c r="R122" s="17">
        <v>44740</v>
      </c>
      <c r="S122" s="18" t="s">
        <v>58</v>
      </c>
      <c r="T122" s="19" t="str">
        <f t="shared" si="4"/>
        <v xml:space="preserve"> update person
  set  id_card_no = '082093006661'
 where  id = (select employee.id from employee where employee_code='VM110');</v>
      </c>
      <c r="U122" s="34" t="str">
        <f t="shared" si="3"/>
        <v>update employee
  set  print_name_e = 'Lê Minh Huy',
       print_name_l = 'Lê Minh Huy'
 where   employee_code='VM110';</v>
      </c>
    </row>
    <row r="123" spans="1:21" s="19" customFormat="1" ht="18" customHeight="1">
      <c r="A123" s="8" t="s">
        <v>758</v>
      </c>
      <c r="B123" s="9" t="s">
        <v>759</v>
      </c>
      <c r="C123" s="10">
        <v>33091</v>
      </c>
      <c r="D123" s="8" t="s">
        <v>16</v>
      </c>
      <c r="E123" s="9" t="s">
        <v>760</v>
      </c>
      <c r="F123" s="9" t="s">
        <v>722</v>
      </c>
      <c r="G123" s="11" t="s">
        <v>680</v>
      </c>
      <c r="H123" s="22" t="s">
        <v>15</v>
      </c>
      <c r="I123" s="11" t="s">
        <v>63</v>
      </c>
      <c r="J123" s="9" t="s">
        <v>761</v>
      </c>
      <c r="K123" s="15">
        <v>41591</v>
      </c>
      <c r="L123" s="21" t="s">
        <v>1068</v>
      </c>
      <c r="M123" s="9"/>
      <c r="N123" s="15" t="s">
        <v>55</v>
      </c>
      <c r="O123" s="8" t="s">
        <v>762</v>
      </c>
      <c r="P123" s="9" t="s">
        <v>759</v>
      </c>
      <c r="Q123" s="16" t="s">
        <v>763</v>
      </c>
      <c r="R123" s="17">
        <v>44556</v>
      </c>
      <c r="S123" s="18" t="s">
        <v>58</v>
      </c>
      <c r="T123" s="19" t="str">
        <f t="shared" si="4"/>
        <v xml:space="preserve"> update person
  set  id_card_no = '091190011206'
 where  id = (select employee.id from employee where employee_code='VM114');</v>
      </c>
      <c r="U123" s="34" t="str">
        <f t="shared" si="3"/>
        <v>update employee
  set  print_name_e = 'Nguyễn Thị Thúy Oanh',
       print_name_l = 'Nguyễn Thị Thúy Oanh'
 where   employee_code='VM114';</v>
      </c>
    </row>
    <row r="124" spans="1:21" s="19" customFormat="1" ht="18" customHeight="1">
      <c r="A124" s="8" t="s">
        <v>764</v>
      </c>
      <c r="B124" s="9" t="s">
        <v>765</v>
      </c>
      <c r="C124" s="10">
        <v>33156</v>
      </c>
      <c r="D124" s="8" t="s">
        <v>16</v>
      </c>
      <c r="E124" s="9" t="s">
        <v>766</v>
      </c>
      <c r="F124" s="9" t="s">
        <v>722</v>
      </c>
      <c r="G124" s="11" t="s">
        <v>767</v>
      </c>
      <c r="H124" s="12" t="s">
        <v>15</v>
      </c>
      <c r="I124" s="11" t="s">
        <v>63</v>
      </c>
      <c r="J124" s="8" t="s">
        <v>768</v>
      </c>
      <c r="K124" s="13">
        <v>42432</v>
      </c>
      <c r="L124" s="21" t="s">
        <v>1068</v>
      </c>
      <c r="M124" s="9"/>
      <c r="N124" s="15" t="s">
        <v>55</v>
      </c>
      <c r="O124" s="8" t="s">
        <v>769</v>
      </c>
      <c r="P124" s="9" t="s">
        <v>765</v>
      </c>
      <c r="Q124" s="16" t="s">
        <v>770</v>
      </c>
      <c r="R124" s="17">
        <v>44418</v>
      </c>
      <c r="S124" s="18" t="s">
        <v>58</v>
      </c>
      <c r="T124" s="19" t="str">
        <f t="shared" si="4"/>
        <v xml:space="preserve"> update person
  set  id_card_no = '079190024314'
 where  id = (select employee.id from employee where employee_code='VM098');</v>
      </c>
      <c r="U124" s="34" t="str">
        <f t="shared" si="3"/>
        <v>update employee
  set  print_name_e = 'Nguyễn Trần Thị Diễm Thúy',
       print_name_l = 'Nguyễn Trần Thị Diễm Thúy'
 where   employee_code='VM098';</v>
      </c>
    </row>
    <row r="125" spans="1:21" s="19" customFormat="1" ht="18" customHeight="1">
      <c r="A125" s="8" t="s">
        <v>771</v>
      </c>
      <c r="B125" s="9" t="s">
        <v>772</v>
      </c>
      <c r="C125" s="10">
        <v>37305</v>
      </c>
      <c r="D125" s="8" t="s">
        <v>16</v>
      </c>
      <c r="E125" s="9" t="s">
        <v>773</v>
      </c>
      <c r="F125" s="9" t="s">
        <v>722</v>
      </c>
      <c r="G125" s="11" t="s">
        <v>767</v>
      </c>
      <c r="H125" s="12" t="s">
        <v>15</v>
      </c>
      <c r="I125" s="11" t="s">
        <v>63</v>
      </c>
      <c r="J125" s="8" t="s">
        <v>774</v>
      </c>
      <c r="K125" s="13">
        <v>45827</v>
      </c>
      <c r="L125" s="14" t="s">
        <v>1081</v>
      </c>
      <c r="M125" s="9"/>
      <c r="N125" s="15" t="s">
        <v>55</v>
      </c>
      <c r="O125" s="8" t="s">
        <v>775</v>
      </c>
      <c r="P125" s="9" t="s">
        <v>772</v>
      </c>
      <c r="Q125" s="16" t="s">
        <v>776</v>
      </c>
      <c r="R125" s="17">
        <v>44423</v>
      </c>
      <c r="S125" s="18" t="s">
        <v>58</v>
      </c>
      <c r="T125" s="19" t="str">
        <f t="shared" si="4"/>
        <v xml:space="preserve"> update person
  set  id_card_no = '046302011560'
 where  id = (select employee.id from employee where employee_code='VM226');</v>
      </c>
      <c r="U125" s="34" t="str">
        <f t="shared" si="3"/>
        <v>update employee
  set  print_name_e = 'Phan Văn Thị Nhất Liên',
       print_name_l = 'Phan Văn Thị Nhất Liên'
 where   employee_code='VM226';</v>
      </c>
    </row>
    <row r="126" spans="1:21" s="19" customFormat="1" ht="18" customHeight="1">
      <c r="A126" s="8" t="s">
        <v>777</v>
      </c>
      <c r="B126" s="9" t="s">
        <v>778</v>
      </c>
      <c r="C126" s="10">
        <v>34893</v>
      </c>
      <c r="D126" s="8" t="s">
        <v>16</v>
      </c>
      <c r="E126" s="9" t="s">
        <v>779</v>
      </c>
      <c r="F126" s="9" t="s">
        <v>722</v>
      </c>
      <c r="G126" s="11" t="s">
        <v>767</v>
      </c>
      <c r="H126" s="12" t="s">
        <v>15</v>
      </c>
      <c r="I126" s="11" t="s">
        <v>63</v>
      </c>
      <c r="J126" s="8" t="s">
        <v>780</v>
      </c>
      <c r="K126" s="13">
        <v>44251</v>
      </c>
      <c r="L126" s="21" t="s">
        <v>1068</v>
      </c>
      <c r="M126" s="9"/>
      <c r="N126" s="15" t="s">
        <v>55</v>
      </c>
      <c r="O126" s="8" t="s">
        <v>781</v>
      </c>
      <c r="P126" s="9" t="s">
        <v>778</v>
      </c>
      <c r="Q126" s="16" t="s">
        <v>782</v>
      </c>
      <c r="R126" s="17">
        <v>44399</v>
      </c>
      <c r="S126" s="18" t="s">
        <v>58</v>
      </c>
      <c r="T126" s="19" t="str">
        <f t="shared" si="4"/>
        <v xml:space="preserve"> update person
  set  id_card_no = '079195021143'
 where  id = (select employee.id from employee where employee_code='VM246');</v>
      </c>
      <c r="U126" s="34" t="str">
        <f t="shared" si="3"/>
        <v>update employee
  set  print_name_e = 'Nguyễn Ngọc Hiếu',
       print_name_l = 'Nguyễn Ngọc Hiếu'
 where   employee_code='VM246';</v>
      </c>
    </row>
    <row r="127" spans="1:21" s="19" customFormat="1" ht="18" customHeight="1">
      <c r="A127" s="8" t="s">
        <v>783</v>
      </c>
      <c r="B127" s="9" t="s">
        <v>784</v>
      </c>
      <c r="C127" s="10">
        <v>34426</v>
      </c>
      <c r="D127" s="8" t="s">
        <v>16</v>
      </c>
      <c r="E127" s="9" t="s">
        <v>785</v>
      </c>
      <c r="F127" s="9" t="s">
        <v>722</v>
      </c>
      <c r="G127" s="11" t="s">
        <v>767</v>
      </c>
      <c r="H127" s="22" t="s">
        <v>15</v>
      </c>
      <c r="I127" s="11" t="s">
        <v>63</v>
      </c>
      <c r="J127" s="8" t="s">
        <v>786</v>
      </c>
      <c r="K127" s="13">
        <v>44088</v>
      </c>
      <c r="L127" s="21" t="s">
        <v>1068</v>
      </c>
      <c r="M127" s="9"/>
      <c r="N127" s="15" t="s">
        <v>55</v>
      </c>
      <c r="O127" s="8" t="s">
        <v>787</v>
      </c>
      <c r="P127" s="9" t="s">
        <v>788</v>
      </c>
      <c r="Q127" s="16" t="s">
        <v>789</v>
      </c>
      <c r="R127" s="17">
        <v>44624</v>
      </c>
      <c r="S127" s="18" t="s">
        <v>58</v>
      </c>
      <c r="T127" s="19" t="str">
        <f t="shared" si="4"/>
        <v xml:space="preserve"> update person
  set  id_card_no = '087194002507'
 where  id = (select employee.id from employee where employee_code='VM259');</v>
      </c>
      <c r="U127" s="34" t="str">
        <f t="shared" si="3"/>
        <v>update employee
  set  print_name_e = 'Nguyễn Thúy An',
       print_name_l = 'Nguyễn Thúy An'
 where   employee_code='VM259';</v>
      </c>
    </row>
    <row r="128" spans="1:21" s="19" customFormat="1" ht="18" customHeight="1">
      <c r="A128" s="8" t="s">
        <v>790</v>
      </c>
      <c r="B128" s="9" t="s">
        <v>791</v>
      </c>
      <c r="C128" s="10">
        <v>24884</v>
      </c>
      <c r="D128" s="8" t="s">
        <v>14</v>
      </c>
      <c r="E128" s="9" t="s">
        <v>792</v>
      </c>
      <c r="F128" s="9" t="s">
        <v>793</v>
      </c>
      <c r="G128" s="11" t="s">
        <v>794</v>
      </c>
      <c r="H128" s="22" t="s">
        <v>22</v>
      </c>
      <c r="I128" s="11" t="s">
        <v>63</v>
      </c>
      <c r="J128" s="8" t="s">
        <v>795</v>
      </c>
      <c r="K128" s="13">
        <v>41802</v>
      </c>
      <c r="L128" s="21" t="s">
        <v>1068</v>
      </c>
      <c r="M128" s="9"/>
      <c r="N128" s="15" t="s">
        <v>55</v>
      </c>
      <c r="O128" s="8" t="s">
        <v>796</v>
      </c>
      <c r="P128" s="9" t="s">
        <v>797</v>
      </c>
      <c r="Q128" s="16" t="s">
        <v>798</v>
      </c>
      <c r="R128" s="17">
        <v>44831</v>
      </c>
      <c r="S128" s="18" t="s">
        <v>58</v>
      </c>
      <c r="T128" s="19" t="str">
        <f t="shared" si="4"/>
        <v xml:space="preserve"> update person
  set  id_card_no = '079068002037'
 where  id = (select employee.id from employee where employee_code='VM137');</v>
      </c>
      <c r="U128" s="34" t="str">
        <f t="shared" si="3"/>
        <v>update employee
  set  print_name_e = 'ThS. Nguyễn Thiện Thực',
       print_name_l = 'ThS. Nguyễn Thiện Thực'
 where   employee_code='VM137';</v>
      </c>
    </row>
    <row r="129" spans="1:21" s="19" customFormat="1" ht="18" customHeight="1">
      <c r="A129" s="8" t="s">
        <v>799</v>
      </c>
      <c r="B129" s="9" t="s">
        <v>800</v>
      </c>
      <c r="C129" s="10">
        <v>36585</v>
      </c>
      <c r="D129" s="8" t="s">
        <v>16</v>
      </c>
      <c r="E129" s="9" t="s">
        <v>801</v>
      </c>
      <c r="F129" s="9" t="s">
        <v>793</v>
      </c>
      <c r="G129" s="11" t="s">
        <v>802</v>
      </c>
      <c r="H129" s="22" t="s">
        <v>15</v>
      </c>
      <c r="I129" s="11" t="s">
        <v>63</v>
      </c>
      <c r="J129" s="8"/>
      <c r="K129" s="13"/>
      <c r="L129" s="14"/>
      <c r="M129" s="9"/>
      <c r="N129" s="15" t="s">
        <v>55</v>
      </c>
      <c r="O129" s="8" t="s">
        <v>803</v>
      </c>
      <c r="P129" s="9" t="s">
        <v>804</v>
      </c>
      <c r="Q129" s="16" t="s">
        <v>805</v>
      </c>
      <c r="R129" s="17">
        <v>45707</v>
      </c>
      <c r="S129" s="18" t="s">
        <v>58</v>
      </c>
      <c r="T129" s="19" t="str">
        <f t="shared" si="4"/>
        <v xml:space="preserve"> update person
  set  id_card_no = '091300014249'
 where  id = (select employee.id from employee where employee_code='VM044');</v>
      </c>
      <c r="U129" s="34" t="str">
        <f t="shared" si="3"/>
        <v>update employee
  set  print_name_e = 'CN. Dương Ngọc Linh',
       print_name_l = 'CN. Dương Ngọc Linh'
 where   employee_code='VM044';</v>
      </c>
    </row>
    <row r="130" spans="1:21" s="19" customFormat="1" ht="18" customHeight="1">
      <c r="A130" s="8" t="s">
        <v>806</v>
      </c>
      <c r="B130" s="9" t="s">
        <v>807</v>
      </c>
      <c r="C130" s="10">
        <v>36395</v>
      </c>
      <c r="D130" s="8" t="s">
        <v>16</v>
      </c>
      <c r="E130" s="9" t="s">
        <v>808</v>
      </c>
      <c r="F130" s="9" t="s">
        <v>793</v>
      </c>
      <c r="G130" s="11" t="s">
        <v>802</v>
      </c>
      <c r="H130" s="12" t="s">
        <v>15</v>
      </c>
      <c r="I130" s="11" t="s">
        <v>63</v>
      </c>
      <c r="J130" s="8"/>
      <c r="K130" s="13"/>
      <c r="L130" s="14"/>
      <c r="M130" s="9"/>
      <c r="N130" s="15" t="s">
        <v>55</v>
      </c>
      <c r="O130" s="8" t="s">
        <v>809</v>
      </c>
      <c r="P130" s="9" t="s">
        <v>810</v>
      </c>
      <c r="Q130" s="16" t="s">
        <v>811</v>
      </c>
      <c r="R130" s="17">
        <v>45538</v>
      </c>
      <c r="S130" s="18" t="s">
        <v>58</v>
      </c>
      <c r="T130" s="19" t="str">
        <f t="shared" si="4"/>
        <v xml:space="preserve"> update person
  set  id_card_no = '079199002136'
 where  id = (select employee.id from employee where employee_code='VM075');</v>
      </c>
      <c r="U130" s="34" t="str">
        <f t="shared" si="3"/>
        <v>update employee
  set  print_name_e = 'ThS. Trần Ngọc Sang',
       print_name_l = 'ThS. Trần Ngọc Sang'
 where   employee_code='VM075';</v>
      </c>
    </row>
    <row r="131" spans="1:21" s="19" customFormat="1" ht="18" customHeight="1">
      <c r="A131" s="8" t="s">
        <v>812</v>
      </c>
      <c r="B131" s="9" t="s">
        <v>813</v>
      </c>
      <c r="C131" s="10">
        <v>36688</v>
      </c>
      <c r="D131" s="8" t="s">
        <v>16</v>
      </c>
      <c r="E131" s="9" t="s">
        <v>814</v>
      </c>
      <c r="F131" s="9" t="s">
        <v>793</v>
      </c>
      <c r="G131" s="11" t="s">
        <v>802</v>
      </c>
      <c r="H131" s="12" t="s">
        <v>15</v>
      </c>
      <c r="I131" s="11" t="s">
        <v>63</v>
      </c>
      <c r="J131" s="8"/>
      <c r="K131" s="13"/>
      <c r="L131" s="14"/>
      <c r="M131" s="9"/>
      <c r="N131" s="15" t="s">
        <v>55</v>
      </c>
      <c r="O131" s="8" t="s">
        <v>815</v>
      </c>
      <c r="P131" s="9" t="s">
        <v>816</v>
      </c>
      <c r="Q131" s="16" t="s">
        <v>817</v>
      </c>
      <c r="R131" s="17">
        <v>45810</v>
      </c>
      <c r="S131" s="18" t="s">
        <v>58</v>
      </c>
      <c r="T131" s="19" t="str">
        <f t="shared" si="4"/>
        <v xml:space="preserve"> update person
  set  id_card_no = '079300040880'
 where  id = (select employee.id from employee where employee_code='VM076');</v>
      </c>
      <c r="U131" s="34" t="str">
        <f t="shared" ref="U131:U169" si="5">"update employee
  set  print_name_e = '"&amp;P131&amp;"',
       print_name_l = '"&amp;P131&amp;"'
 where   employee_code='"&amp;A131&amp;"';"</f>
        <v>update employee
  set  print_name_e = 'CN. Huỳnh Tú Anh',
       print_name_l = 'CN. Huỳnh Tú Anh'
 where   employee_code='VM076';</v>
      </c>
    </row>
    <row r="132" spans="1:21" s="19" customFormat="1" ht="18" customHeight="1">
      <c r="A132" s="8" t="s">
        <v>818</v>
      </c>
      <c r="B132" s="9" t="s">
        <v>819</v>
      </c>
      <c r="C132" s="10">
        <v>32876</v>
      </c>
      <c r="D132" s="8" t="s">
        <v>14</v>
      </c>
      <c r="E132" s="9" t="s">
        <v>814</v>
      </c>
      <c r="F132" s="9" t="s">
        <v>722</v>
      </c>
      <c r="G132" s="11" t="s">
        <v>820</v>
      </c>
      <c r="H132" s="22" t="s">
        <v>15</v>
      </c>
      <c r="I132" s="11" t="s">
        <v>63</v>
      </c>
      <c r="J132" s="8"/>
      <c r="K132" s="13"/>
      <c r="L132" s="14"/>
      <c r="M132" s="9"/>
      <c r="N132" s="15" t="s">
        <v>55</v>
      </c>
      <c r="O132" s="8" t="s">
        <v>821</v>
      </c>
      <c r="P132" s="9" t="s">
        <v>822</v>
      </c>
      <c r="Q132" s="16" t="s">
        <v>823</v>
      </c>
      <c r="R132" s="17">
        <v>44311</v>
      </c>
      <c r="S132" s="18" t="s">
        <v>58</v>
      </c>
      <c r="T132" s="19" t="str">
        <f t="shared" si="4"/>
        <v xml:space="preserve"> update person
  set  id_card_no = '079090022582'
 where  id = (select employee.id from employee where employee_code='VM218');</v>
      </c>
      <c r="U132" s="34" t="str">
        <f t="shared" si="5"/>
        <v>update employee
  set  print_name_e = 'Ths. Mai Vương Hùng',
       print_name_l = 'Ths. Mai Vương Hùng'
 where   employee_code='VM218';</v>
      </c>
    </row>
    <row r="133" spans="1:21" s="19" customFormat="1" ht="18" customHeight="1">
      <c r="A133" s="8" t="s">
        <v>824</v>
      </c>
      <c r="B133" s="9" t="s">
        <v>825</v>
      </c>
      <c r="C133" s="10">
        <v>36566</v>
      </c>
      <c r="D133" s="8" t="s">
        <v>16</v>
      </c>
      <c r="E133" s="9" t="s">
        <v>826</v>
      </c>
      <c r="F133" s="9" t="s">
        <v>793</v>
      </c>
      <c r="G133" s="11" t="s">
        <v>802</v>
      </c>
      <c r="H133" s="22" t="s">
        <v>15</v>
      </c>
      <c r="I133" s="11" t="s">
        <v>63</v>
      </c>
      <c r="J133" s="8"/>
      <c r="K133" s="13"/>
      <c r="L133" s="14"/>
      <c r="M133" s="9"/>
      <c r="N133" s="15" t="s">
        <v>55</v>
      </c>
      <c r="O133" s="8" t="s">
        <v>827</v>
      </c>
      <c r="P133" s="9" t="s">
        <v>825</v>
      </c>
      <c r="Q133" s="16" t="s">
        <v>828</v>
      </c>
      <c r="R133" s="17">
        <v>45678</v>
      </c>
      <c r="S133" s="18" t="s">
        <v>48</v>
      </c>
      <c r="T133" s="19" t="str">
        <f t="shared" si="4"/>
        <v xml:space="preserve"> update person
  set  id_card_no = '064300011640'
 where  id = (select employee.id from employee where employee_code='VM250');</v>
      </c>
      <c r="U133" s="34" t="str">
        <f t="shared" si="5"/>
        <v>update employee
  set  print_name_e = 'Phan Thị Mỹ Long',
       print_name_l = 'Phan Thị Mỹ Long'
 where   employee_code='VM250';</v>
      </c>
    </row>
    <row r="134" spans="1:21" s="19" customFormat="1" ht="18" customHeight="1">
      <c r="A134" s="8" t="s">
        <v>829</v>
      </c>
      <c r="B134" s="9" t="s">
        <v>830</v>
      </c>
      <c r="C134" s="10">
        <v>25548</v>
      </c>
      <c r="D134" s="8" t="s">
        <v>14</v>
      </c>
      <c r="E134" s="9" t="s">
        <v>831</v>
      </c>
      <c r="F134" s="9" t="s">
        <v>641</v>
      </c>
      <c r="G134" s="11" t="s">
        <v>20</v>
      </c>
      <c r="H134" s="22" t="s">
        <v>15</v>
      </c>
      <c r="I134" s="11" t="s">
        <v>63</v>
      </c>
      <c r="J134" s="8" t="s">
        <v>832</v>
      </c>
      <c r="K134" s="13">
        <v>42228</v>
      </c>
      <c r="L134" s="21" t="s">
        <v>1068</v>
      </c>
      <c r="M134" s="9" t="s">
        <v>641</v>
      </c>
      <c r="N134" s="15" t="s">
        <v>55</v>
      </c>
      <c r="O134" s="8" t="s">
        <v>833</v>
      </c>
      <c r="P134" s="9" t="s">
        <v>830</v>
      </c>
      <c r="Q134" s="16" t="s">
        <v>834</v>
      </c>
      <c r="R134" s="17">
        <v>45730</v>
      </c>
      <c r="S134" s="18" t="s">
        <v>58</v>
      </c>
      <c r="T134" s="19" t="str">
        <f t="shared" si="4"/>
        <v xml:space="preserve"> update person
  set  id_card_no = '087069013767'
 where  id = (select employee.id from employee where employee_code='VM070');</v>
      </c>
      <c r="U134" s="34" t="str">
        <f t="shared" si="5"/>
        <v>update employee
  set  print_name_e = 'Võ Văn Hải',
       print_name_l = 'Võ Văn Hải'
 where   employee_code='VM070';</v>
      </c>
    </row>
    <row r="135" spans="1:21" s="19" customFormat="1" ht="18" customHeight="1">
      <c r="A135" s="8" t="s">
        <v>835</v>
      </c>
      <c r="B135" s="9" t="s">
        <v>836</v>
      </c>
      <c r="C135" s="10">
        <v>32906</v>
      </c>
      <c r="D135" s="8" t="s">
        <v>14</v>
      </c>
      <c r="E135" s="9" t="s">
        <v>837</v>
      </c>
      <c r="F135" s="9" t="s">
        <v>641</v>
      </c>
      <c r="G135" s="11" t="s">
        <v>838</v>
      </c>
      <c r="H135" s="22" t="s">
        <v>15</v>
      </c>
      <c r="I135" s="11" t="s">
        <v>845</v>
      </c>
      <c r="J135" s="9" t="s">
        <v>839</v>
      </c>
      <c r="K135" s="15">
        <v>42109</v>
      </c>
      <c r="L135" s="21" t="s">
        <v>1068</v>
      </c>
      <c r="M135" s="9" t="s">
        <v>641</v>
      </c>
      <c r="N135" s="15" t="s">
        <v>55</v>
      </c>
      <c r="O135" s="8" t="s">
        <v>840</v>
      </c>
      <c r="P135" s="9" t="s">
        <v>836</v>
      </c>
      <c r="Q135" s="16" t="s">
        <v>841</v>
      </c>
      <c r="R135" s="17">
        <v>45499</v>
      </c>
      <c r="S135" s="18" t="s">
        <v>58</v>
      </c>
      <c r="T135" s="19" t="str">
        <f t="shared" si="4"/>
        <v xml:space="preserve"> update person
  set  id_card_no = '083090015123'
 where  id = (select employee.id from employee where employee_code='VM091');</v>
      </c>
      <c r="U135" s="34" t="str">
        <f t="shared" si="5"/>
        <v>update employee
  set  print_name_e = 'Trần Đông Phương',
       print_name_l = 'Trần Đông Phương'
 where   employee_code='VM091';</v>
      </c>
    </row>
    <row r="136" spans="1:21" s="19" customFormat="1" ht="18" customHeight="1">
      <c r="A136" s="8" t="s">
        <v>842</v>
      </c>
      <c r="B136" s="9" t="s">
        <v>843</v>
      </c>
      <c r="C136" s="10">
        <v>36545</v>
      </c>
      <c r="D136" s="8" t="s">
        <v>16</v>
      </c>
      <c r="E136" s="9" t="s">
        <v>844</v>
      </c>
      <c r="F136" s="9" t="s">
        <v>641</v>
      </c>
      <c r="G136" s="11" t="s">
        <v>838</v>
      </c>
      <c r="H136" s="22" t="s">
        <v>15</v>
      </c>
      <c r="I136" s="11" t="s">
        <v>845</v>
      </c>
      <c r="J136" s="9" t="s">
        <v>846</v>
      </c>
      <c r="K136" s="15">
        <v>44830</v>
      </c>
      <c r="L136" s="21" t="s">
        <v>1071</v>
      </c>
      <c r="M136" s="9" t="s">
        <v>641</v>
      </c>
      <c r="N136" s="15" t="s">
        <v>55</v>
      </c>
      <c r="O136" s="8" t="s">
        <v>847</v>
      </c>
      <c r="P136" s="9" t="s">
        <v>843</v>
      </c>
      <c r="Q136" s="16" t="s">
        <v>848</v>
      </c>
      <c r="R136" s="17">
        <v>45667</v>
      </c>
      <c r="S136" s="18" t="s">
        <v>58</v>
      </c>
      <c r="T136" s="19" t="str">
        <f t="shared" si="4"/>
        <v xml:space="preserve"> update person
  set  id_card_no = '091300001935'
 where  id = (select employee.id from employee where employee_code='VM096');</v>
      </c>
      <c r="U136" s="34" t="str">
        <f t="shared" si="5"/>
        <v>update employee
  set  print_name_e = 'Trần Thị Thanh Phương',
       print_name_l = 'Trần Thị Thanh Phương'
 where   employee_code='VM096';</v>
      </c>
    </row>
    <row r="137" spans="1:21" s="19" customFormat="1" ht="18" customHeight="1">
      <c r="A137" s="8" t="s">
        <v>849</v>
      </c>
      <c r="B137" s="9" t="s">
        <v>31</v>
      </c>
      <c r="C137" s="10">
        <v>26574</v>
      </c>
      <c r="D137" s="8" t="s">
        <v>16</v>
      </c>
      <c r="E137" s="9" t="s">
        <v>850</v>
      </c>
      <c r="F137" s="9" t="s">
        <v>37</v>
      </c>
      <c r="G137" s="11" t="s">
        <v>851</v>
      </c>
      <c r="H137" s="22" t="s">
        <v>15</v>
      </c>
      <c r="I137" s="11" t="s">
        <v>63</v>
      </c>
      <c r="J137" s="9" t="s">
        <v>852</v>
      </c>
      <c r="K137" s="15">
        <v>41330</v>
      </c>
      <c r="L137" s="21" t="s">
        <v>1068</v>
      </c>
      <c r="M137" s="9" t="s">
        <v>1060</v>
      </c>
      <c r="N137" s="15" t="s">
        <v>55</v>
      </c>
      <c r="O137" s="8" t="s">
        <v>853</v>
      </c>
      <c r="P137" s="9" t="s">
        <v>31</v>
      </c>
      <c r="Q137" s="16" t="s">
        <v>854</v>
      </c>
      <c r="R137" s="17">
        <v>44502</v>
      </c>
      <c r="S137" s="18" t="s">
        <v>58</v>
      </c>
      <c r="T137" s="19" t="str">
        <f t="shared" si="4"/>
        <v xml:space="preserve"> update person
  set  id_card_no = '052172036675'
 where  id = (select employee.id from employee where employee_code='VM065');</v>
      </c>
      <c r="U137" s="34" t="str">
        <f t="shared" si="5"/>
        <v>update employee
  set  print_name_e = 'Võ Thị Thùy Trang',
       print_name_l = 'Võ Thị Thùy Trang'
 where   employee_code='VM065';</v>
      </c>
    </row>
    <row r="138" spans="1:21" s="19" customFormat="1" ht="18" customHeight="1">
      <c r="A138" s="8" t="s">
        <v>855</v>
      </c>
      <c r="B138" s="9" t="s">
        <v>856</v>
      </c>
      <c r="C138" s="10">
        <v>35341</v>
      </c>
      <c r="D138" s="8" t="s">
        <v>14</v>
      </c>
      <c r="E138" s="9" t="s">
        <v>857</v>
      </c>
      <c r="F138" s="9" t="s">
        <v>37</v>
      </c>
      <c r="G138" s="11" t="s">
        <v>858</v>
      </c>
      <c r="H138" s="22" t="s">
        <v>15</v>
      </c>
      <c r="I138" s="11" t="s">
        <v>63</v>
      </c>
      <c r="J138" s="8" t="s">
        <v>859</v>
      </c>
      <c r="K138" s="13">
        <v>45786</v>
      </c>
      <c r="L138" s="21" t="s">
        <v>1068</v>
      </c>
      <c r="M138" s="9" t="s">
        <v>1060</v>
      </c>
      <c r="N138" s="15" t="s">
        <v>55</v>
      </c>
      <c r="O138" s="8" t="s">
        <v>860</v>
      </c>
      <c r="P138" s="9" t="s">
        <v>861</v>
      </c>
      <c r="Q138" s="16" t="s">
        <v>862</v>
      </c>
      <c r="R138" s="17">
        <v>44781</v>
      </c>
      <c r="S138" s="18" t="s">
        <v>58</v>
      </c>
      <c r="T138" s="19" t="str">
        <f t="shared" si="4"/>
        <v xml:space="preserve"> update person
  set  id_card_no = '066096005451'
 where  id = (select employee.id from employee where employee_code='VM185');</v>
      </c>
      <c r="U138" s="34" t="str">
        <f t="shared" si="5"/>
        <v>update employee
  set  print_name_e = 'Ths.BS.Nguyễn Quang Nhật',
       print_name_l = 'Ths.BS.Nguyễn Quang Nhật'
 where   employee_code='VM185';</v>
      </c>
    </row>
    <row r="139" spans="1:21" s="19" customFormat="1" ht="18" customHeight="1">
      <c r="A139" s="8" t="s">
        <v>863</v>
      </c>
      <c r="B139" s="9" t="s">
        <v>864</v>
      </c>
      <c r="C139" s="10" t="s">
        <v>865</v>
      </c>
      <c r="D139" s="8" t="s">
        <v>16</v>
      </c>
      <c r="E139" s="9" t="s">
        <v>201</v>
      </c>
      <c r="F139" s="9" t="s">
        <v>37</v>
      </c>
      <c r="G139" s="11" t="s">
        <v>866</v>
      </c>
      <c r="H139" s="22" t="s">
        <v>526</v>
      </c>
      <c r="I139" s="11" t="s">
        <v>1067</v>
      </c>
      <c r="J139" s="8" t="s">
        <v>867</v>
      </c>
      <c r="K139" s="13" t="s">
        <v>868</v>
      </c>
      <c r="L139" s="21" t="s">
        <v>1068</v>
      </c>
      <c r="M139" s="9" t="s">
        <v>1060</v>
      </c>
      <c r="N139" s="15" t="s">
        <v>55</v>
      </c>
      <c r="O139" s="8" t="s">
        <v>869</v>
      </c>
      <c r="P139" s="9" t="s">
        <v>864</v>
      </c>
      <c r="Q139" s="16" t="s">
        <v>870</v>
      </c>
      <c r="R139" s="17" t="s">
        <v>871</v>
      </c>
      <c r="S139" s="18" t="s">
        <v>58</v>
      </c>
      <c r="T139" s="19" t="str">
        <f t="shared" si="4"/>
        <v xml:space="preserve"> update person
  set  id_card_no = '080159011538'
 where  id = (select employee.id from employee where employee_code='VM169');</v>
      </c>
      <c r="U139" s="34" t="str">
        <f t="shared" si="5"/>
        <v>update employee
  set  print_name_e = 'Đoàn Thị Kim Loan',
       print_name_l = 'Đoàn Thị Kim Loan'
 where   employee_code='VM169';</v>
      </c>
    </row>
    <row r="140" spans="1:21" s="19" customFormat="1" ht="18" customHeight="1">
      <c r="A140" s="8" t="s">
        <v>872</v>
      </c>
      <c r="B140" s="9" t="s">
        <v>873</v>
      </c>
      <c r="C140" s="10">
        <v>36754</v>
      </c>
      <c r="D140" s="8" t="s">
        <v>14</v>
      </c>
      <c r="E140" s="9" t="s">
        <v>874</v>
      </c>
      <c r="F140" s="9" t="s">
        <v>37</v>
      </c>
      <c r="G140" s="11" t="s">
        <v>875</v>
      </c>
      <c r="H140" s="22" t="s">
        <v>15</v>
      </c>
      <c r="I140" s="11" t="s">
        <v>63</v>
      </c>
      <c r="J140" s="8" t="s">
        <v>876</v>
      </c>
      <c r="K140" s="13">
        <v>45630</v>
      </c>
      <c r="L140" s="14" t="s">
        <v>1075</v>
      </c>
      <c r="M140" s="9" t="s">
        <v>1060</v>
      </c>
      <c r="N140" s="15" t="s">
        <v>55</v>
      </c>
      <c r="O140" s="8" t="s">
        <v>877</v>
      </c>
      <c r="P140" s="9" t="s">
        <v>878</v>
      </c>
      <c r="Q140" s="16" t="s">
        <v>879</v>
      </c>
      <c r="R140" s="17">
        <v>44553</v>
      </c>
      <c r="S140" s="18" t="s">
        <v>58</v>
      </c>
      <c r="T140" s="19" t="str">
        <f t="shared" si="4"/>
        <v xml:space="preserve"> update person
  set  id_card_no = '049200005425'
 where  id = (select employee.id from employee where employee_code='VM087');</v>
      </c>
      <c r="U140" s="34" t="str">
        <f t="shared" si="5"/>
        <v>update employee
  set  print_name_e = 'CN. GMHS Phan Anh Khánh',
       print_name_l = 'CN. GMHS Phan Anh Khánh'
 where   employee_code='VM087';</v>
      </c>
    </row>
    <row r="141" spans="1:21" s="19" customFormat="1" ht="18" customHeight="1">
      <c r="A141" s="8" t="s">
        <v>880</v>
      </c>
      <c r="B141" s="9" t="s">
        <v>881</v>
      </c>
      <c r="C141" s="10">
        <v>32151</v>
      </c>
      <c r="D141" s="8" t="s">
        <v>16</v>
      </c>
      <c r="E141" s="9" t="s">
        <v>882</v>
      </c>
      <c r="F141" s="9" t="s">
        <v>37</v>
      </c>
      <c r="G141" s="11" t="s">
        <v>875</v>
      </c>
      <c r="H141" s="22" t="s">
        <v>15</v>
      </c>
      <c r="I141" s="11" t="s">
        <v>845</v>
      </c>
      <c r="J141" s="8" t="s">
        <v>883</v>
      </c>
      <c r="K141" s="13">
        <v>45009</v>
      </c>
      <c r="L141" s="14" t="s">
        <v>1076</v>
      </c>
      <c r="M141" s="9" t="s">
        <v>1060</v>
      </c>
      <c r="N141" s="15" t="s">
        <v>55</v>
      </c>
      <c r="O141" s="8" t="s">
        <v>884</v>
      </c>
      <c r="P141" s="9" t="s">
        <v>881</v>
      </c>
      <c r="Q141" s="16" t="s">
        <v>885</v>
      </c>
      <c r="R141" s="17">
        <v>45049</v>
      </c>
      <c r="S141" s="18" t="s">
        <v>58</v>
      </c>
      <c r="T141" s="19" t="str">
        <f t="shared" si="4"/>
        <v xml:space="preserve"> update person
  set  id_card_no = '019188010394'
 where  id = (select employee.id from employee where employee_code='VM126');</v>
      </c>
      <c r="U141" s="34" t="str">
        <f t="shared" si="5"/>
        <v>update employee
  set  print_name_e = 'Nông Thị Diệu',
       print_name_l = 'Nông Thị Diệu'
 where   employee_code='VM126';</v>
      </c>
    </row>
    <row r="142" spans="1:21" s="19" customFormat="1" ht="18" customHeight="1">
      <c r="A142" s="8" t="s">
        <v>886</v>
      </c>
      <c r="B142" s="9" t="s">
        <v>887</v>
      </c>
      <c r="C142" s="10">
        <v>36587</v>
      </c>
      <c r="D142" s="8" t="s">
        <v>14</v>
      </c>
      <c r="E142" s="9" t="s">
        <v>126</v>
      </c>
      <c r="F142" s="9" t="s">
        <v>37</v>
      </c>
      <c r="G142" s="11" t="s">
        <v>875</v>
      </c>
      <c r="H142" s="22" t="s">
        <v>15</v>
      </c>
      <c r="I142" s="11" t="s">
        <v>63</v>
      </c>
      <c r="J142" s="8" t="s">
        <v>888</v>
      </c>
      <c r="K142" s="13">
        <v>45498</v>
      </c>
      <c r="L142" s="21" t="s">
        <v>1068</v>
      </c>
      <c r="M142" s="9" t="s">
        <v>1060</v>
      </c>
      <c r="N142" s="15" t="s">
        <v>55</v>
      </c>
      <c r="O142" s="8" t="s">
        <v>889</v>
      </c>
      <c r="P142" s="9" t="s">
        <v>887</v>
      </c>
      <c r="Q142" s="16" t="s">
        <v>890</v>
      </c>
      <c r="R142" s="17">
        <v>45701</v>
      </c>
      <c r="S142" s="18" t="s">
        <v>48</v>
      </c>
      <c r="T142" s="19" t="str">
        <f t="shared" si="4"/>
        <v xml:space="preserve"> update person
  set  id_card_no = '079200025930'
 where  id = (select employee.id from employee where employee_code='VM146');</v>
      </c>
      <c r="U142" s="34" t="str">
        <f t="shared" si="5"/>
        <v>update employee
  set  print_name_e = 'Lê Hoàng Sơn',
       print_name_l = 'Lê Hoàng Sơn'
 where   employee_code='VM146';</v>
      </c>
    </row>
    <row r="143" spans="1:21" s="19" customFormat="1" ht="18" customHeight="1">
      <c r="A143" s="8" t="s">
        <v>891</v>
      </c>
      <c r="B143" s="9" t="s">
        <v>892</v>
      </c>
      <c r="C143" s="10">
        <v>36059</v>
      </c>
      <c r="D143" s="8" t="s">
        <v>16</v>
      </c>
      <c r="E143" s="9" t="s">
        <v>517</v>
      </c>
      <c r="F143" s="9" t="s">
        <v>37</v>
      </c>
      <c r="G143" s="11" t="s">
        <v>875</v>
      </c>
      <c r="H143" s="22" t="s">
        <v>15</v>
      </c>
      <c r="I143" s="11" t="s">
        <v>845</v>
      </c>
      <c r="J143" s="8" t="s">
        <v>893</v>
      </c>
      <c r="K143" s="13">
        <v>45289</v>
      </c>
      <c r="L143" s="21" t="s">
        <v>1068</v>
      </c>
      <c r="M143" s="9" t="s">
        <v>1060</v>
      </c>
      <c r="N143" s="15" t="s">
        <v>55</v>
      </c>
      <c r="O143" s="8" t="s">
        <v>894</v>
      </c>
      <c r="P143" s="9" t="s">
        <v>892</v>
      </c>
      <c r="Q143" s="16" t="s">
        <v>895</v>
      </c>
      <c r="R143" s="17">
        <v>44471</v>
      </c>
      <c r="S143" s="18" t="s">
        <v>58</v>
      </c>
      <c r="T143" s="19" t="str">
        <f t="shared" si="4"/>
        <v xml:space="preserve"> update person
  set  id_card_no = '038198031227'
 where  id = (select employee.id from employee where employee_code='VM182');</v>
      </c>
      <c r="U143" s="34" t="str">
        <f t="shared" si="5"/>
        <v>update employee
  set  print_name_e = 'Lê Thị Ninh',
       print_name_l = 'Lê Thị Ninh'
 where   employee_code='VM182';</v>
      </c>
    </row>
    <row r="144" spans="1:21" s="19" customFormat="1" ht="18" customHeight="1">
      <c r="A144" s="8" t="s">
        <v>896</v>
      </c>
      <c r="B144" s="11" t="s">
        <v>897</v>
      </c>
      <c r="C144" s="10">
        <v>37421</v>
      </c>
      <c r="D144" s="12" t="s">
        <v>16</v>
      </c>
      <c r="E144" s="9" t="s">
        <v>898</v>
      </c>
      <c r="F144" s="9" t="s">
        <v>37</v>
      </c>
      <c r="G144" s="11" t="s">
        <v>899</v>
      </c>
      <c r="H144" s="22" t="s">
        <v>15</v>
      </c>
      <c r="I144" s="11" t="s">
        <v>63</v>
      </c>
      <c r="J144" s="8" t="s">
        <v>900</v>
      </c>
      <c r="K144" s="13">
        <v>46042</v>
      </c>
      <c r="L144" s="21" t="s">
        <v>1068</v>
      </c>
      <c r="M144" s="9" t="s">
        <v>1060</v>
      </c>
      <c r="N144" s="15" t="s">
        <v>55</v>
      </c>
      <c r="O144" s="8" t="s">
        <v>901</v>
      </c>
      <c r="P144" s="9" t="s">
        <v>902</v>
      </c>
      <c r="Q144" s="16" t="s">
        <v>903</v>
      </c>
      <c r="R144" s="17">
        <v>44440</v>
      </c>
      <c r="S144" s="24" t="s">
        <v>58</v>
      </c>
      <c r="T144" s="19" t="str">
        <f t="shared" si="4"/>
        <v xml:space="preserve"> update person
  set  id_card_no = '066302013903'
 where  id = (select employee.id from employee where employee_code='VM195');</v>
      </c>
      <c r="U144" s="34" t="str">
        <f t="shared" si="5"/>
        <v>update employee
  set  print_name_e = 'Nguyễn Thị Thủy Kiều',
       print_name_l = 'Nguyễn Thị Thủy Kiều'
 where   employee_code='VM195';</v>
      </c>
    </row>
    <row r="145" spans="1:21" s="19" customFormat="1" ht="18" customHeight="1">
      <c r="A145" s="8" t="s">
        <v>904</v>
      </c>
      <c r="B145" s="9" t="s">
        <v>42</v>
      </c>
      <c r="C145" s="10">
        <v>35066</v>
      </c>
      <c r="D145" s="8" t="s">
        <v>16</v>
      </c>
      <c r="E145" s="9" t="s">
        <v>420</v>
      </c>
      <c r="F145" s="9" t="s">
        <v>37</v>
      </c>
      <c r="G145" s="11" t="s">
        <v>899</v>
      </c>
      <c r="H145" s="22" t="s">
        <v>15</v>
      </c>
      <c r="I145" s="11" t="s">
        <v>63</v>
      </c>
      <c r="J145" s="8" t="s">
        <v>905</v>
      </c>
      <c r="K145" s="13">
        <v>45183</v>
      </c>
      <c r="L145" s="21" t="s">
        <v>1068</v>
      </c>
      <c r="M145" s="9" t="s">
        <v>1060</v>
      </c>
      <c r="N145" s="15" t="s">
        <v>55</v>
      </c>
      <c r="O145" s="8" t="s">
        <v>906</v>
      </c>
      <c r="P145" s="9" t="s">
        <v>42</v>
      </c>
      <c r="Q145" s="16" t="s">
        <v>907</v>
      </c>
      <c r="R145" s="17">
        <v>44387</v>
      </c>
      <c r="S145" s="18" t="s">
        <v>58</v>
      </c>
      <c r="T145" s="19" t="str">
        <f t="shared" si="4"/>
        <v xml:space="preserve"> update person
  set  id_card_no = '042196007314'
 where  id = (select employee.id from employee where employee_code='VM194');</v>
      </c>
      <c r="U145" s="34" t="str">
        <f t="shared" si="5"/>
        <v>update employee
  set  print_name_e = 'Nguyễn Thị Phượng',
       print_name_l = 'Nguyễn Thị Phượng'
 where   employee_code='VM194';</v>
      </c>
    </row>
    <row r="146" spans="1:21" s="19" customFormat="1" ht="18" customHeight="1">
      <c r="A146" s="8" t="s">
        <v>908</v>
      </c>
      <c r="B146" s="9" t="s">
        <v>909</v>
      </c>
      <c r="C146" s="10">
        <v>35477</v>
      </c>
      <c r="D146" s="8" t="s">
        <v>16</v>
      </c>
      <c r="E146" s="9" t="s">
        <v>237</v>
      </c>
      <c r="F146" s="9" t="s">
        <v>37</v>
      </c>
      <c r="G146" s="11" t="s">
        <v>899</v>
      </c>
      <c r="H146" s="22" t="s">
        <v>15</v>
      </c>
      <c r="I146" s="11" t="s">
        <v>845</v>
      </c>
      <c r="J146" s="8" t="s">
        <v>910</v>
      </c>
      <c r="K146" s="13">
        <v>45678</v>
      </c>
      <c r="L146" s="14" t="s">
        <v>585</v>
      </c>
      <c r="M146" s="9" t="s">
        <v>1060</v>
      </c>
      <c r="N146" s="15" t="s">
        <v>55</v>
      </c>
      <c r="O146" s="8" t="s">
        <v>911</v>
      </c>
      <c r="P146" s="9" t="s">
        <v>909</v>
      </c>
      <c r="Q146" s="16" t="s">
        <v>912</v>
      </c>
      <c r="R146" s="17">
        <v>44573</v>
      </c>
      <c r="S146" s="18" t="s">
        <v>58</v>
      </c>
      <c r="T146" s="19" t="str">
        <f t="shared" si="4"/>
        <v xml:space="preserve"> update person
  set  id_card_no = '079197037978'
 where  id = (select employee.id from employee where employee_code='VM205');</v>
      </c>
      <c r="U146" s="34" t="str">
        <f t="shared" si="5"/>
        <v>update employee
  set  print_name_e = 'Lâm Hải Phụng',
       print_name_l = 'Lâm Hải Phụng'
 where   employee_code='VM205';</v>
      </c>
    </row>
    <row r="147" spans="1:21" s="19" customFormat="1" ht="18" customHeight="1">
      <c r="A147" s="8" t="s">
        <v>913</v>
      </c>
      <c r="B147" s="9" t="s">
        <v>914</v>
      </c>
      <c r="C147" s="10">
        <v>37443</v>
      </c>
      <c r="D147" s="8" t="s">
        <v>16</v>
      </c>
      <c r="E147" s="9" t="s">
        <v>915</v>
      </c>
      <c r="F147" s="9" t="s">
        <v>37</v>
      </c>
      <c r="G147" s="11" t="s">
        <v>899</v>
      </c>
      <c r="H147" s="22" t="s">
        <v>15</v>
      </c>
      <c r="I147" s="11" t="s">
        <v>63</v>
      </c>
      <c r="J147" s="8" t="s">
        <v>916</v>
      </c>
      <c r="K147" s="13">
        <v>46135</v>
      </c>
      <c r="L147" s="21" t="s">
        <v>1068</v>
      </c>
      <c r="M147" s="9" t="s">
        <v>1060</v>
      </c>
      <c r="N147" s="15" t="s">
        <v>55</v>
      </c>
      <c r="O147" s="8" t="s">
        <v>917</v>
      </c>
      <c r="P147" s="9" t="s">
        <v>914</v>
      </c>
      <c r="Q147" s="16" t="s">
        <v>918</v>
      </c>
      <c r="R147" s="17">
        <v>44573</v>
      </c>
      <c r="S147" s="18" t="s">
        <v>58</v>
      </c>
      <c r="T147" s="19" t="str">
        <f t="shared" si="4"/>
        <v xml:space="preserve"> update person
  set  id_card_no = '084302000147'
 where  id = (select employee.id from employee where employee_code='VM248');</v>
      </c>
      <c r="U147" s="34" t="str">
        <f t="shared" si="5"/>
        <v>update employee
  set  print_name_e = 'Trương Thị Khánh Dư',
       print_name_l = 'Trương Thị Khánh Dư'
 where   employee_code='VM248';</v>
      </c>
    </row>
    <row r="148" spans="1:21" s="19" customFormat="1" ht="18" customHeight="1">
      <c r="A148" s="8" t="s">
        <v>919</v>
      </c>
      <c r="B148" s="9" t="s">
        <v>920</v>
      </c>
      <c r="C148" s="10">
        <v>37662</v>
      </c>
      <c r="D148" s="8" t="s">
        <v>16</v>
      </c>
      <c r="E148" s="9" t="s">
        <v>921</v>
      </c>
      <c r="F148" s="9" t="s">
        <v>37</v>
      </c>
      <c r="G148" s="11" t="s">
        <v>875</v>
      </c>
      <c r="H148" s="22" t="s">
        <v>15</v>
      </c>
      <c r="I148" s="11" t="s">
        <v>63</v>
      </c>
      <c r="J148" s="8" t="s">
        <v>922</v>
      </c>
      <c r="K148" s="13">
        <v>46178</v>
      </c>
      <c r="L148" s="21" t="s">
        <v>1068</v>
      </c>
      <c r="M148" s="9" t="s">
        <v>1060</v>
      </c>
      <c r="N148" s="15" t="s">
        <v>55</v>
      </c>
      <c r="O148" s="8" t="s">
        <v>923</v>
      </c>
      <c r="P148" s="9" t="s">
        <v>920</v>
      </c>
      <c r="Q148" s="16" t="s">
        <v>924</v>
      </c>
      <c r="R148" s="17">
        <v>44280</v>
      </c>
      <c r="S148" s="18" t="s">
        <v>58</v>
      </c>
      <c r="T148" s="19" t="str">
        <f t="shared" ref="T148:T168" si="6">" update person
  set  id_card_no = '"&amp;Q148&amp;"'
 where  id = (select employee.id from employee where employee_code='"&amp;A148&amp;"');"</f>
        <v xml:space="preserve"> update person
  set  id_card_no = '083303000693'
 where  id = (select employee.id from employee where employee_code='VM236');</v>
      </c>
      <c r="U148" s="34" t="str">
        <f t="shared" si="5"/>
        <v>update employee
  set  print_name_e = 'Võ Thị Anh Thy',
       print_name_l = 'Võ Thị Anh Thy'
 where   employee_code='VM236';</v>
      </c>
    </row>
    <row r="149" spans="1:21" s="19" customFormat="1" ht="18" customHeight="1">
      <c r="A149" s="8" t="s">
        <v>925</v>
      </c>
      <c r="B149" s="9" t="s">
        <v>926</v>
      </c>
      <c r="C149" s="10">
        <v>37948</v>
      </c>
      <c r="D149" s="8" t="s">
        <v>16</v>
      </c>
      <c r="E149" s="9" t="s">
        <v>927</v>
      </c>
      <c r="F149" s="9" t="s">
        <v>37</v>
      </c>
      <c r="G149" s="11" t="s">
        <v>875</v>
      </c>
      <c r="H149" s="22" t="s">
        <v>15</v>
      </c>
      <c r="I149" s="11" t="s">
        <v>63</v>
      </c>
      <c r="J149" s="8" t="s">
        <v>928</v>
      </c>
      <c r="K149" s="13">
        <v>46178</v>
      </c>
      <c r="L149" s="21" t="s">
        <v>1068</v>
      </c>
      <c r="M149" s="9" t="s">
        <v>1060</v>
      </c>
      <c r="N149" s="15" t="s">
        <v>55</v>
      </c>
      <c r="O149" s="8" t="s">
        <v>929</v>
      </c>
      <c r="P149" s="9" t="s">
        <v>930</v>
      </c>
      <c r="Q149" s="16" t="s">
        <v>931</v>
      </c>
      <c r="R149" s="17">
        <v>44315</v>
      </c>
      <c r="S149" s="18" t="s">
        <v>58</v>
      </c>
      <c r="T149" s="19" t="str">
        <f t="shared" si="6"/>
        <v xml:space="preserve"> update person
  set  id_card_no = '060303004806'
 where  id = (select employee.id from employee where employee_code='VM237');</v>
      </c>
      <c r="U149" s="34" t="str">
        <f t="shared" si="5"/>
        <v>update employee
  set  print_name_e = 'Hoàng Trần Anh Thư',
       print_name_l = 'Hoàng Trần Anh Thư'
 where   employee_code='VM237';</v>
      </c>
    </row>
    <row r="150" spans="1:21" s="19" customFormat="1" ht="18" customHeight="1">
      <c r="A150" s="8" t="s">
        <v>932</v>
      </c>
      <c r="B150" s="9" t="s">
        <v>933</v>
      </c>
      <c r="C150" s="10">
        <v>29847</v>
      </c>
      <c r="D150" s="8" t="s">
        <v>16</v>
      </c>
      <c r="E150" s="9" t="s">
        <v>201</v>
      </c>
      <c r="F150" s="9" t="s">
        <v>37</v>
      </c>
      <c r="G150" s="11" t="s">
        <v>934</v>
      </c>
      <c r="H150" s="22" t="s">
        <v>15</v>
      </c>
      <c r="I150" s="11" t="s">
        <v>63</v>
      </c>
      <c r="J150" s="8"/>
      <c r="K150" s="13"/>
      <c r="L150" s="14"/>
      <c r="M150" s="9" t="s">
        <v>1060</v>
      </c>
      <c r="N150" s="15" t="s">
        <v>55</v>
      </c>
      <c r="O150" s="8" t="s">
        <v>935</v>
      </c>
      <c r="P150" s="9" t="s">
        <v>933</v>
      </c>
      <c r="Q150" s="16" t="s">
        <v>936</v>
      </c>
      <c r="R150" s="17">
        <v>44705</v>
      </c>
      <c r="S150" s="18" t="s">
        <v>58</v>
      </c>
      <c r="T150" s="19" t="str">
        <f t="shared" si="6"/>
        <v xml:space="preserve"> update person
  set  id_card_no = '079181036661'
 where  id = (select employee.id from employee where employee_code='VM247');</v>
      </c>
      <c r="U150" s="34" t="str">
        <f t="shared" si="5"/>
        <v>update employee
  set  print_name_e = 'Nguyễn Thị Tú Quỳnh',
       print_name_l = 'Nguyễn Thị Tú Quỳnh'
 where   employee_code='VM247';</v>
      </c>
    </row>
    <row r="151" spans="1:21" s="19" customFormat="1" ht="18" customHeight="1">
      <c r="A151" s="8" t="s">
        <v>937</v>
      </c>
      <c r="B151" s="9" t="s">
        <v>938</v>
      </c>
      <c r="C151" s="10">
        <v>34521</v>
      </c>
      <c r="D151" s="8" t="s">
        <v>14</v>
      </c>
      <c r="E151" s="9" t="s">
        <v>939</v>
      </c>
      <c r="F151" s="9" t="s">
        <v>1083</v>
      </c>
      <c r="G151" s="11" t="s">
        <v>940</v>
      </c>
      <c r="H151" s="22" t="s">
        <v>15</v>
      </c>
      <c r="I151" s="11" t="s">
        <v>63</v>
      </c>
      <c r="J151" s="9" t="s">
        <v>941</v>
      </c>
      <c r="K151" s="15">
        <v>44746</v>
      </c>
      <c r="L151" s="21" t="s">
        <v>72</v>
      </c>
      <c r="M151" s="9" t="s">
        <v>1061</v>
      </c>
      <c r="N151" s="15" t="s">
        <v>55</v>
      </c>
      <c r="O151" s="8" t="s">
        <v>942</v>
      </c>
      <c r="P151" s="9" t="s">
        <v>943</v>
      </c>
      <c r="Q151" s="16" t="s">
        <v>944</v>
      </c>
      <c r="R151" s="17">
        <v>44911</v>
      </c>
      <c r="S151" s="18" t="s">
        <v>58</v>
      </c>
      <c r="T151" s="19" t="str">
        <f t="shared" si="6"/>
        <v xml:space="preserve"> update person
  set  id_card_no = '045094008668'
 where  id = (select employee.id from employee where employee_code='VM220');</v>
      </c>
      <c r="U151" s="34" t="str">
        <f t="shared" si="5"/>
        <v>update employee
  set  print_name_e = 'BS. CKI. Ngô Tuấn Minh',
       print_name_l = 'BS. CKI. Ngô Tuấn Minh'
 where   employee_code='VM220';</v>
      </c>
    </row>
    <row r="152" spans="1:21" s="19" customFormat="1" ht="18" customHeight="1">
      <c r="A152" s="8" t="s">
        <v>945</v>
      </c>
      <c r="B152" s="9" t="s">
        <v>946</v>
      </c>
      <c r="C152" s="10">
        <v>35264</v>
      </c>
      <c r="D152" s="8" t="s">
        <v>16</v>
      </c>
      <c r="E152" s="9" t="s">
        <v>947</v>
      </c>
      <c r="F152" s="9" t="s">
        <v>1083</v>
      </c>
      <c r="G152" s="11" t="s">
        <v>940</v>
      </c>
      <c r="H152" s="12" t="s">
        <v>15</v>
      </c>
      <c r="I152" s="11" t="s">
        <v>63</v>
      </c>
      <c r="J152" s="9" t="s">
        <v>948</v>
      </c>
      <c r="K152" s="15">
        <v>45468</v>
      </c>
      <c r="L152" s="21" t="s">
        <v>1068</v>
      </c>
      <c r="M152" s="9" t="s">
        <v>1061</v>
      </c>
      <c r="N152" s="15" t="s">
        <v>55</v>
      </c>
      <c r="O152" s="8" t="s">
        <v>949</v>
      </c>
      <c r="P152" s="9" t="s">
        <v>950</v>
      </c>
      <c r="Q152" s="16" t="s">
        <v>951</v>
      </c>
      <c r="R152" s="17">
        <v>44420</v>
      </c>
      <c r="S152" s="18" t="s">
        <v>58</v>
      </c>
      <c r="T152" s="19" t="str">
        <f t="shared" si="6"/>
        <v xml:space="preserve"> update person
  set  id_card_no = '066196010528'
 where  id = (select employee.id from employee where employee_code='VM238');</v>
      </c>
      <c r="U152" s="34" t="str">
        <f t="shared" si="5"/>
        <v>update employee
  set  print_name_e = 'ThS. BS. Trương Thị Ngọc Nga',
       print_name_l = 'ThS. BS. Trương Thị Ngọc Nga'
 where   employee_code='VM238';</v>
      </c>
    </row>
    <row r="153" spans="1:21" s="19" customFormat="1" ht="18" customHeight="1">
      <c r="A153" s="8" t="s">
        <v>952</v>
      </c>
      <c r="B153" s="9" t="s">
        <v>953</v>
      </c>
      <c r="C153" s="10">
        <v>37589</v>
      </c>
      <c r="D153" s="8" t="s">
        <v>16</v>
      </c>
      <c r="E153" s="9" t="s">
        <v>954</v>
      </c>
      <c r="F153" s="9" t="s">
        <v>1083</v>
      </c>
      <c r="G153" s="11" t="s">
        <v>43</v>
      </c>
      <c r="H153" s="22" t="s">
        <v>15</v>
      </c>
      <c r="I153" s="11" t="s">
        <v>845</v>
      </c>
      <c r="J153" s="8" t="s">
        <v>955</v>
      </c>
      <c r="K153" s="13">
        <v>46032</v>
      </c>
      <c r="L153" s="14" t="s">
        <v>1077</v>
      </c>
      <c r="M153" s="9" t="s">
        <v>1061</v>
      </c>
      <c r="N153" s="15" t="s">
        <v>55</v>
      </c>
      <c r="O153" s="8" t="s">
        <v>956</v>
      </c>
      <c r="P153" s="9" t="s">
        <v>953</v>
      </c>
      <c r="Q153" s="16" t="s">
        <v>957</v>
      </c>
      <c r="R153" s="17">
        <v>44776</v>
      </c>
      <c r="S153" s="18" t="s">
        <v>58</v>
      </c>
      <c r="T153" s="19" t="str">
        <f t="shared" si="6"/>
        <v xml:space="preserve"> update person
  set  id_card_no = '075302017942'
 where  id = (select employee.id from employee where employee_code='VM206');</v>
      </c>
      <c r="U153" s="34" t="str">
        <f t="shared" si="5"/>
        <v>update employee
  set  print_name_e = 'Nguyễn Châu Thị Long Phụng',
       print_name_l = 'Nguyễn Châu Thị Long Phụng'
 where   employee_code='VM206';</v>
      </c>
    </row>
    <row r="154" spans="1:21" s="19" customFormat="1" ht="18" customHeight="1">
      <c r="A154" s="8" t="s">
        <v>958</v>
      </c>
      <c r="B154" s="9" t="s">
        <v>959</v>
      </c>
      <c r="C154" s="10">
        <v>36956</v>
      </c>
      <c r="D154" s="8" t="s">
        <v>14</v>
      </c>
      <c r="E154" s="9" t="s">
        <v>960</v>
      </c>
      <c r="F154" s="9" t="s">
        <v>1083</v>
      </c>
      <c r="G154" s="11" t="s">
        <v>43</v>
      </c>
      <c r="H154" s="22" t="s">
        <v>15</v>
      </c>
      <c r="I154" s="11" t="s">
        <v>63</v>
      </c>
      <c r="J154" s="9" t="s">
        <v>962</v>
      </c>
      <c r="K154" s="15">
        <v>45735</v>
      </c>
      <c r="L154" s="21" t="s">
        <v>72</v>
      </c>
      <c r="M154" s="9" t="s">
        <v>1061</v>
      </c>
      <c r="N154" s="15" t="s">
        <v>55</v>
      </c>
      <c r="O154" s="8" t="s">
        <v>963</v>
      </c>
      <c r="P154" s="9" t="s">
        <v>959</v>
      </c>
      <c r="Q154" s="16" t="s">
        <v>964</v>
      </c>
      <c r="R154" s="17">
        <v>44467</v>
      </c>
      <c r="S154" s="18" t="s">
        <v>58</v>
      </c>
      <c r="T154" s="19" t="str">
        <f t="shared" si="6"/>
        <v xml:space="preserve"> update person
  set  id_card_no = '091201007889'
 where  id = (select employee.id from employee where employee_code='VM107');</v>
      </c>
      <c r="U154" s="34" t="str">
        <f t="shared" si="5"/>
        <v>update employee
  set  print_name_e = 'Lâm Nguyễn Lân',
       print_name_l = 'Lâm Nguyễn Lân'
 where   employee_code='VM107';</v>
      </c>
    </row>
    <row r="155" spans="1:21" s="19" customFormat="1" ht="18" customHeight="1">
      <c r="A155" s="8" t="s">
        <v>965</v>
      </c>
      <c r="B155" s="9" t="s">
        <v>966</v>
      </c>
      <c r="C155" s="10">
        <v>34290</v>
      </c>
      <c r="D155" s="8" t="s">
        <v>14</v>
      </c>
      <c r="E155" s="9" t="s">
        <v>967</v>
      </c>
      <c r="F155" s="9" t="s">
        <v>1083</v>
      </c>
      <c r="G155" s="11" t="s">
        <v>968</v>
      </c>
      <c r="H155" s="22" t="s">
        <v>15</v>
      </c>
      <c r="I155" s="11" t="s">
        <v>63</v>
      </c>
      <c r="J155" s="9" t="s">
        <v>969</v>
      </c>
      <c r="K155" s="15">
        <v>42989</v>
      </c>
      <c r="L155" s="21" t="s">
        <v>1078</v>
      </c>
      <c r="M155" s="9" t="s">
        <v>1061</v>
      </c>
      <c r="N155" s="15" t="s">
        <v>55</v>
      </c>
      <c r="O155" s="8" t="s">
        <v>970</v>
      </c>
      <c r="P155" s="9" t="s">
        <v>971</v>
      </c>
      <c r="Q155" s="16" t="s">
        <v>972</v>
      </c>
      <c r="R155" s="17">
        <v>44663</v>
      </c>
      <c r="S155" s="18" t="s">
        <v>58</v>
      </c>
      <c r="T155" s="19" t="str">
        <f t="shared" si="6"/>
        <v xml:space="preserve"> update person
  set  id_card_no = '045093005939'
 where  id = (select employee.id from employee where employee_code='VM079');</v>
      </c>
      <c r="U155" s="34" t="str">
        <f t="shared" si="5"/>
        <v>update employee
  set  print_name_e = 'KTV Nguyễn Thái Hoàng',
       print_name_l = 'KTV Nguyễn Thái Hoàng'
 where   employee_code='VM079';</v>
      </c>
    </row>
    <row r="156" spans="1:21" s="19" customFormat="1" ht="18" customHeight="1">
      <c r="A156" s="8" t="s">
        <v>973</v>
      </c>
      <c r="B156" s="9" t="s">
        <v>974</v>
      </c>
      <c r="C156" s="10">
        <v>34760</v>
      </c>
      <c r="D156" s="8" t="s">
        <v>16</v>
      </c>
      <c r="E156" s="9" t="s">
        <v>779</v>
      </c>
      <c r="F156" s="9" t="s">
        <v>1083</v>
      </c>
      <c r="G156" s="11" t="s">
        <v>934</v>
      </c>
      <c r="H156" s="22" t="s">
        <v>15</v>
      </c>
      <c r="I156" s="11" t="s">
        <v>845</v>
      </c>
      <c r="J156" s="9"/>
      <c r="K156" s="15"/>
      <c r="L156" s="21"/>
      <c r="M156" s="9" t="s">
        <v>1061</v>
      </c>
      <c r="N156" s="15" t="s">
        <v>55</v>
      </c>
      <c r="O156" s="8" t="s">
        <v>975</v>
      </c>
      <c r="P156" s="9" t="s">
        <v>976</v>
      </c>
      <c r="Q156" s="16" t="s">
        <v>977</v>
      </c>
      <c r="R156" s="17" t="s">
        <v>49</v>
      </c>
      <c r="S156" s="18" t="s">
        <v>58</v>
      </c>
      <c r="T156" s="19" t="str">
        <f t="shared" si="6"/>
        <v xml:space="preserve"> update person
  set  id_card_no = '079195008069'
 where  id = (select employee.id from employee where employee_code='VM164');</v>
      </c>
      <c r="U156" s="34" t="str">
        <f t="shared" si="5"/>
        <v>update employee
  set  print_name_e = 'Nguyễn Thu Thủy',
       print_name_l = 'Nguyễn Thu Thủy'
 where   employee_code='VM164';</v>
      </c>
    </row>
    <row r="157" spans="1:21" s="19" customFormat="1" ht="18" customHeight="1">
      <c r="A157" s="8" t="s">
        <v>978</v>
      </c>
      <c r="B157" s="9" t="s">
        <v>979</v>
      </c>
      <c r="C157" s="10">
        <v>33407</v>
      </c>
      <c r="D157" s="8" t="s">
        <v>16</v>
      </c>
      <c r="E157" s="9" t="s">
        <v>98</v>
      </c>
      <c r="F157" s="9" t="s">
        <v>980</v>
      </c>
      <c r="G157" s="11" t="s">
        <v>981</v>
      </c>
      <c r="H157" s="22" t="s">
        <v>32</v>
      </c>
      <c r="I157" s="11" t="s">
        <v>63</v>
      </c>
      <c r="J157" s="9" t="s">
        <v>982</v>
      </c>
      <c r="K157" s="15">
        <v>42473</v>
      </c>
      <c r="L157" s="21" t="s">
        <v>1068</v>
      </c>
      <c r="M157" s="9" t="s">
        <v>980</v>
      </c>
      <c r="N157" s="15" t="s">
        <v>55</v>
      </c>
      <c r="O157" s="8" t="s">
        <v>983</v>
      </c>
      <c r="P157" s="9" t="s">
        <v>984</v>
      </c>
      <c r="Q157" s="16" t="s">
        <v>985</v>
      </c>
      <c r="R157" s="17">
        <v>45873</v>
      </c>
      <c r="S157" s="18" t="s">
        <v>58</v>
      </c>
      <c r="T157" s="19" t="str">
        <f t="shared" si="6"/>
        <v xml:space="preserve"> update person
  set  id_card_no = '077191000542'
 where  id = (select employee.id from employee where employee_code='VM080');</v>
      </c>
      <c r="U157" s="34" t="str">
        <f t="shared" si="5"/>
        <v>update employee
  set  print_name_e = 'Ths.CKI. Lê Thị Thôi',
       print_name_l = 'Ths.CKI. Lê Thị Thôi'
 where   employee_code='VM080';</v>
      </c>
    </row>
    <row r="158" spans="1:21" s="19" customFormat="1" ht="18" customHeight="1">
      <c r="A158" s="8" t="s">
        <v>986</v>
      </c>
      <c r="B158" s="9" t="s">
        <v>987</v>
      </c>
      <c r="C158" s="10">
        <v>36279</v>
      </c>
      <c r="D158" s="8" t="s">
        <v>14</v>
      </c>
      <c r="E158" s="9" t="s">
        <v>850</v>
      </c>
      <c r="F158" s="9" t="s">
        <v>980</v>
      </c>
      <c r="G158" s="11" t="s">
        <v>988</v>
      </c>
      <c r="H158" s="22" t="s">
        <v>15</v>
      </c>
      <c r="I158" s="11" t="s">
        <v>63</v>
      </c>
      <c r="J158" s="9" t="s">
        <v>989</v>
      </c>
      <c r="K158" s="15">
        <v>45933</v>
      </c>
      <c r="L158" s="21" t="s">
        <v>1068</v>
      </c>
      <c r="M158" s="9" t="s">
        <v>980</v>
      </c>
      <c r="N158" s="15" t="s">
        <v>55</v>
      </c>
      <c r="O158" s="8" t="s">
        <v>990</v>
      </c>
      <c r="P158" s="9" t="s">
        <v>991</v>
      </c>
      <c r="Q158" s="16" t="s">
        <v>992</v>
      </c>
      <c r="R158" s="17">
        <v>45499</v>
      </c>
      <c r="S158" s="18" t="s">
        <v>58</v>
      </c>
      <c r="T158" s="19" t="str">
        <f t="shared" si="6"/>
        <v xml:space="preserve"> update person
  set  id_card_no = '079099011502'
 where  id = (select employee.id from employee where employee_code='VM081');</v>
      </c>
      <c r="U158" s="34" t="str">
        <f t="shared" si="5"/>
        <v>update employee
  set  print_name_e = 'CN. Huỳnh Phương Anh',
       print_name_l = 'CN. Huỳnh Phương Anh'
 where   employee_code='VM081';</v>
      </c>
    </row>
    <row r="159" spans="1:21" s="19" customFormat="1" ht="18" customHeight="1">
      <c r="A159" s="8" t="s">
        <v>993</v>
      </c>
      <c r="B159" s="9" t="s">
        <v>994</v>
      </c>
      <c r="C159" s="10">
        <v>37154</v>
      </c>
      <c r="D159" s="8" t="s">
        <v>14</v>
      </c>
      <c r="E159" s="9" t="s">
        <v>324</v>
      </c>
      <c r="F159" s="9" t="s">
        <v>980</v>
      </c>
      <c r="G159" s="11" t="s">
        <v>988</v>
      </c>
      <c r="H159" s="22" t="s">
        <v>15</v>
      </c>
      <c r="I159" s="11" t="s">
        <v>63</v>
      </c>
      <c r="J159" s="9" t="s">
        <v>995</v>
      </c>
      <c r="K159" s="15">
        <v>45985</v>
      </c>
      <c r="L159" s="21" t="s">
        <v>1068</v>
      </c>
      <c r="M159" s="9" t="s">
        <v>980</v>
      </c>
      <c r="N159" s="15" t="s">
        <v>55</v>
      </c>
      <c r="O159" s="8" t="s">
        <v>996</v>
      </c>
      <c r="P159" s="9" t="s">
        <v>997</v>
      </c>
      <c r="Q159" s="16" t="s">
        <v>998</v>
      </c>
      <c r="R159" s="17">
        <v>44522</v>
      </c>
      <c r="S159" s="18" t="s">
        <v>58</v>
      </c>
      <c r="T159" s="19" t="str">
        <f t="shared" si="6"/>
        <v xml:space="preserve"> update person
  set  id_card_no = '079201002420'
 where  id = (select employee.id from employee where employee_code='VM082');</v>
      </c>
      <c r="U159" s="34" t="str">
        <f t="shared" si="5"/>
        <v>update employee
  set  print_name_e = 'CN. Lại Hưng Thịnh',
       print_name_l = 'CN. Lại Hưng Thịnh'
 where   employee_code='VM082';</v>
      </c>
    </row>
    <row r="160" spans="1:21" s="19" customFormat="1" ht="18" customHeight="1">
      <c r="A160" s="8" t="s">
        <v>999</v>
      </c>
      <c r="B160" s="9" t="s">
        <v>1000</v>
      </c>
      <c r="C160" s="10">
        <v>35545</v>
      </c>
      <c r="D160" s="8" t="s">
        <v>16</v>
      </c>
      <c r="E160" s="9" t="s">
        <v>1001</v>
      </c>
      <c r="F160" s="9" t="s">
        <v>980</v>
      </c>
      <c r="G160" s="11" t="s">
        <v>988</v>
      </c>
      <c r="H160" s="22" t="s">
        <v>15</v>
      </c>
      <c r="I160" s="11" t="s">
        <v>63</v>
      </c>
      <c r="J160" s="9" t="s">
        <v>1002</v>
      </c>
      <c r="K160" s="15">
        <v>46044</v>
      </c>
      <c r="L160" s="21" t="s">
        <v>1077</v>
      </c>
      <c r="M160" s="9" t="s">
        <v>980</v>
      </c>
      <c r="N160" s="15" t="s">
        <v>55</v>
      </c>
      <c r="O160" s="8" t="s">
        <v>1003</v>
      </c>
      <c r="P160" s="9" t="s">
        <v>1004</v>
      </c>
      <c r="Q160" s="16" t="s">
        <v>1005</v>
      </c>
      <c r="R160" s="17">
        <v>45060</v>
      </c>
      <c r="S160" s="18" t="s">
        <v>58</v>
      </c>
      <c r="T160" s="19" t="str">
        <f t="shared" si="6"/>
        <v xml:space="preserve"> update person
  set  id_card_no = '051197008800'
 where  id = (select employee.id from employee where employee_code='VM145');</v>
      </c>
      <c r="U160" s="34" t="str">
        <f t="shared" si="5"/>
        <v>update employee
  set  print_name_e = 'CN. Lê Thị Hoài Diễm',
       print_name_l = 'CN. Lê Thị Hoài Diễm'
 where   employee_code='VM145';</v>
      </c>
    </row>
    <row r="161" spans="1:21" s="19" customFormat="1" ht="18" customHeight="1">
      <c r="A161" s="8" t="s">
        <v>1006</v>
      </c>
      <c r="B161" s="9" t="s">
        <v>28</v>
      </c>
      <c r="C161" s="10" t="s">
        <v>1007</v>
      </c>
      <c r="D161" s="8" t="s">
        <v>16</v>
      </c>
      <c r="E161" s="9" t="s">
        <v>1008</v>
      </c>
      <c r="F161" s="9" t="s">
        <v>980</v>
      </c>
      <c r="G161" s="11" t="s">
        <v>988</v>
      </c>
      <c r="H161" s="22" t="s">
        <v>15</v>
      </c>
      <c r="I161" s="11" t="s">
        <v>63</v>
      </c>
      <c r="J161" s="9" t="s">
        <v>1009</v>
      </c>
      <c r="K161" s="15">
        <v>45680</v>
      </c>
      <c r="L161" s="21" t="s">
        <v>1068</v>
      </c>
      <c r="M161" s="9" t="s">
        <v>980</v>
      </c>
      <c r="N161" s="15" t="s">
        <v>55</v>
      </c>
      <c r="O161" s="8" t="s">
        <v>1010</v>
      </c>
      <c r="P161" s="9" t="s">
        <v>1011</v>
      </c>
      <c r="Q161" s="16" t="s">
        <v>1012</v>
      </c>
      <c r="R161" s="17" t="s">
        <v>1013</v>
      </c>
      <c r="S161" s="18" t="s">
        <v>48</v>
      </c>
      <c r="T161" s="19" t="str">
        <f t="shared" si="6"/>
        <v xml:space="preserve"> update person
  set  id_card_no = '049185005725'
 where  id = (select employee.id from employee where employee_code='VM163');</v>
      </c>
      <c r="U161" s="34" t="str">
        <f t="shared" si="5"/>
        <v>update employee
  set  print_name_e = 'CN. Nguyễn Thị Thu Hiền',
       print_name_l = 'CN. Nguyễn Thị Thu Hiền'
 where   employee_code='VM163';</v>
      </c>
    </row>
    <row r="162" spans="1:21" s="19" customFormat="1" ht="18" customHeight="1">
      <c r="A162" s="8" t="s">
        <v>1014</v>
      </c>
      <c r="B162" s="9" t="s">
        <v>1015</v>
      </c>
      <c r="C162" s="10">
        <v>26980</v>
      </c>
      <c r="D162" s="8" t="s">
        <v>16</v>
      </c>
      <c r="E162" s="9" t="s">
        <v>364</v>
      </c>
      <c r="F162" s="9" t="s">
        <v>23</v>
      </c>
      <c r="G162" s="11" t="s">
        <v>1016</v>
      </c>
      <c r="H162" s="22" t="s">
        <v>32</v>
      </c>
      <c r="I162" s="11" t="s">
        <v>63</v>
      </c>
      <c r="J162" s="9" t="s">
        <v>1017</v>
      </c>
      <c r="K162" s="15">
        <v>41325</v>
      </c>
      <c r="L162" s="21" t="s">
        <v>1068</v>
      </c>
      <c r="M162" s="9"/>
      <c r="N162" s="15" t="s">
        <v>55</v>
      </c>
      <c r="O162" s="8" t="s">
        <v>1018</v>
      </c>
      <c r="P162" s="9" t="s">
        <v>1015</v>
      </c>
      <c r="Q162" s="16" t="s">
        <v>1019</v>
      </c>
      <c r="R162" s="17">
        <v>44387</v>
      </c>
      <c r="S162" s="18" t="s">
        <v>58</v>
      </c>
      <c r="T162" s="19" t="str">
        <f t="shared" si="6"/>
        <v xml:space="preserve"> update person
  set  id_card_no = '079173021657'
 where  id = (select employee.id from employee where employee_code='VM083');</v>
      </c>
      <c r="U162" s="34" t="str">
        <f t="shared" si="5"/>
        <v>update employee
  set  print_name_e = 'Phạm Thị Loan',
       print_name_l = 'Phạm Thị Loan'
 where   employee_code='VM083';</v>
      </c>
    </row>
    <row r="163" spans="1:21" s="19" customFormat="1" ht="18" customHeight="1">
      <c r="A163" s="8" t="s">
        <v>1020</v>
      </c>
      <c r="B163" s="9" t="s">
        <v>1021</v>
      </c>
      <c r="C163" s="10">
        <v>28157</v>
      </c>
      <c r="D163" s="8" t="s">
        <v>16</v>
      </c>
      <c r="E163" s="9" t="s">
        <v>511</v>
      </c>
      <c r="F163" s="9" t="s">
        <v>38</v>
      </c>
      <c r="G163" s="11" t="s">
        <v>1022</v>
      </c>
      <c r="H163" s="22" t="s">
        <v>32</v>
      </c>
      <c r="I163" s="11" t="s">
        <v>63</v>
      </c>
      <c r="J163" s="9" t="s">
        <v>1023</v>
      </c>
      <c r="K163" s="15">
        <v>43756</v>
      </c>
      <c r="L163" s="21" t="s">
        <v>1068</v>
      </c>
      <c r="M163" s="9" t="s">
        <v>38</v>
      </c>
      <c r="N163" s="15" t="s">
        <v>55</v>
      </c>
      <c r="O163" s="8" t="s">
        <v>1024</v>
      </c>
      <c r="P163" s="9" t="s">
        <v>1021</v>
      </c>
      <c r="Q163" s="16" t="s">
        <v>1025</v>
      </c>
      <c r="R163" s="17">
        <v>44387</v>
      </c>
      <c r="S163" s="18" t="s">
        <v>58</v>
      </c>
      <c r="T163" s="19" t="str">
        <f t="shared" si="6"/>
        <v xml:space="preserve"> update person
  set  id_card_no = '083177000534'
 where  id = (select employee.id from employee where employee_code='VM100');</v>
      </c>
      <c r="U163" s="34" t="str">
        <f t="shared" si="5"/>
        <v>update employee
  set  print_name_e = 'Trần Thị Cẩm Hồng',
       print_name_l = 'Trần Thị Cẩm Hồng'
 where   employee_code='VM100';</v>
      </c>
    </row>
    <row r="164" spans="1:21" s="19" customFormat="1" ht="18" customHeight="1">
      <c r="A164" s="8" t="s">
        <v>1026</v>
      </c>
      <c r="B164" s="11" t="s">
        <v>1027</v>
      </c>
      <c r="C164" s="10">
        <v>36380</v>
      </c>
      <c r="D164" s="12" t="s">
        <v>16</v>
      </c>
      <c r="E164" s="9" t="s">
        <v>237</v>
      </c>
      <c r="F164" s="9" t="s">
        <v>38</v>
      </c>
      <c r="G164" s="11" t="s">
        <v>44</v>
      </c>
      <c r="H164" s="22" t="s">
        <v>15</v>
      </c>
      <c r="I164" s="11" t="s">
        <v>63</v>
      </c>
      <c r="J164" s="11" t="s">
        <v>1028</v>
      </c>
      <c r="K164" s="15">
        <v>45835</v>
      </c>
      <c r="L164" s="21" t="s">
        <v>1068</v>
      </c>
      <c r="M164" s="9" t="s">
        <v>38</v>
      </c>
      <c r="N164" s="15" t="s">
        <v>55</v>
      </c>
      <c r="O164" s="8" t="s">
        <v>1029</v>
      </c>
      <c r="P164" s="9" t="s">
        <v>1027</v>
      </c>
      <c r="Q164" s="16" t="s">
        <v>1030</v>
      </c>
      <c r="R164" s="17">
        <v>45709</v>
      </c>
      <c r="S164" s="25" t="s">
        <v>58</v>
      </c>
      <c r="T164" s="19" t="str">
        <f t="shared" si="6"/>
        <v xml:space="preserve"> update person
  set  id_card_no = '079199015925'
 where  id = (select employee.id from employee where employee_code='VM102');</v>
      </c>
      <c r="U164" s="34" t="str">
        <f t="shared" si="5"/>
        <v>update employee
  set  print_name_e = 'Phan Ngọc Kim Thúy',
       print_name_l = 'Phan Ngọc Kim Thúy'
 where   employee_code='VM102';</v>
      </c>
    </row>
    <row r="165" spans="1:21" s="19" customFormat="1" ht="18" customHeight="1">
      <c r="A165" s="8" t="s">
        <v>1031</v>
      </c>
      <c r="B165" s="9" t="s">
        <v>1032</v>
      </c>
      <c r="C165" s="10">
        <v>33180</v>
      </c>
      <c r="D165" s="8" t="s">
        <v>16</v>
      </c>
      <c r="E165" s="9" t="s">
        <v>779</v>
      </c>
      <c r="F165" s="9" t="s">
        <v>38</v>
      </c>
      <c r="G165" s="11" t="s">
        <v>44</v>
      </c>
      <c r="H165" s="22" t="s">
        <v>15</v>
      </c>
      <c r="I165" s="11" t="s">
        <v>1062</v>
      </c>
      <c r="J165" s="9" t="s">
        <v>1033</v>
      </c>
      <c r="K165" s="15">
        <v>45957</v>
      </c>
      <c r="L165" s="21" t="s">
        <v>1079</v>
      </c>
      <c r="M165" s="9" t="s">
        <v>38</v>
      </c>
      <c r="N165" s="15" t="s">
        <v>55</v>
      </c>
      <c r="O165" s="8" t="s">
        <v>1034</v>
      </c>
      <c r="P165" s="9" t="s">
        <v>1032</v>
      </c>
      <c r="Q165" s="16" t="s">
        <v>1035</v>
      </c>
      <c r="R165" s="17">
        <v>44670</v>
      </c>
      <c r="S165" s="18" t="s">
        <v>58</v>
      </c>
      <c r="T165" s="19" t="str">
        <f t="shared" si="6"/>
        <v xml:space="preserve"> update person
  set  id_card_no = '083190017607'
 where  id = (select employee.id from employee where employee_code='VM127');</v>
      </c>
      <c r="U165" s="34" t="str">
        <f t="shared" si="5"/>
        <v>update employee
  set  print_name_e = 'Thiệu Thanh Thảo',
       print_name_l = 'Thiệu Thanh Thảo'
 where   employee_code='VM127';</v>
      </c>
    </row>
    <row r="166" spans="1:21" s="19" customFormat="1" ht="18" customHeight="1">
      <c r="A166" s="8" t="s">
        <v>1036</v>
      </c>
      <c r="B166" s="9" t="s">
        <v>1037</v>
      </c>
      <c r="C166" s="10">
        <v>27460</v>
      </c>
      <c r="D166" s="8" t="s">
        <v>14</v>
      </c>
      <c r="E166" s="9" t="s">
        <v>1038</v>
      </c>
      <c r="F166" s="9" t="s">
        <v>38</v>
      </c>
      <c r="G166" s="11" t="s">
        <v>44</v>
      </c>
      <c r="H166" s="22" t="s">
        <v>15</v>
      </c>
      <c r="I166" s="11" t="s">
        <v>1066</v>
      </c>
      <c r="J166" s="9" t="s">
        <v>1039</v>
      </c>
      <c r="K166" s="15">
        <v>45468</v>
      </c>
      <c r="L166" s="21" t="s">
        <v>1068</v>
      </c>
      <c r="M166" s="9" t="s">
        <v>38</v>
      </c>
      <c r="N166" s="15" t="s">
        <v>55</v>
      </c>
      <c r="O166" s="8" t="s">
        <v>1040</v>
      </c>
      <c r="P166" s="9" t="s">
        <v>1037</v>
      </c>
      <c r="Q166" s="16" t="s">
        <v>1041</v>
      </c>
      <c r="R166" s="17">
        <v>44418</v>
      </c>
      <c r="S166" s="23" t="s">
        <v>58</v>
      </c>
      <c r="T166" s="19" t="str">
        <f t="shared" si="6"/>
        <v xml:space="preserve"> update person
  set  id_card_no = '052075000187'
 where  id = (select employee.id from employee where employee_code='VM128');</v>
      </c>
      <c r="U166" s="34" t="str">
        <f t="shared" si="5"/>
        <v>update employee
  set  print_name_e = 'Võ Quốc Doãn',
       print_name_l = 'Võ Quốc Doãn'
 where   employee_code='VM128';</v>
      </c>
    </row>
    <row r="167" spans="1:21" s="19" customFormat="1" ht="18" customHeight="1">
      <c r="A167" s="8" t="s">
        <v>1042</v>
      </c>
      <c r="B167" s="9" t="s">
        <v>1043</v>
      </c>
      <c r="C167" s="10">
        <v>34883</v>
      </c>
      <c r="D167" s="8" t="s">
        <v>14</v>
      </c>
      <c r="E167" s="9" t="s">
        <v>335</v>
      </c>
      <c r="F167" s="9" t="s">
        <v>38</v>
      </c>
      <c r="G167" s="11" t="s">
        <v>1044</v>
      </c>
      <c r="H167" s="22" t="s">
        <v>15</v>
      </c>
      <c r="I167" s="11" t="s">
        <v>63</v>
      </c>
      <c r="J167" s="9" t="s">
        <v>1045</v>
      </c>
      <c r="K167" s="15">
        <v>44617</v>
      </c>
      <c r="L167" s="21" t="s">
        <v>1068</v>
      </c>
      <c r="M167" s="9" t="s">
        <v>38</v>
      </c>
      <c r="N167" s="15" t="s">
        <v>55</v>
      </c>
      <c r="O167" s="8" t="s">
        <v>1046</v>
      </c>
      <c r="P167" s="9" t="s">
        <v>1047</v>
      </c>
      <c r="Q167" s="16" t="s">
        <v>1048</v>
      </c>
      <c r="R167" s="17" t="s">
        <v>49</v>
      </c>
      <c r="S167" s="23" t="s">
        <v>58</v>
      </c>
      <c r="T167" s="19" t="str">
        <f t="shared" si="6"/>
        <v xml:space="preserve"> update person
  set  id_card_no = '080095000044'
 where  id = (select employee.id from employee where employee_code='VM179');</v>
      </c>
      <c r="U167" s="34" t="str">
        <f t="shared" si="5"/>
        <v>update employee
  set  print_name_e = 'Lương Huỳnh Quốc Bảo',
       print_name_l = 'Lương Huỳnh Quốc Bảo'
 where   employee_code='VM179';</v>
      </c>
    </row>
    <row r="168" spans="1:21" s="19" customFormat="1" ht="18" customHeight="1">
      <c r="A168" s="8" t="s">
        <v>1049</v>
      </c>
      <c r="B168" s="9" t="s">
        <v>1050</v>
      </c>
      <c r="C168" s="10">
        <v>33467</v>
      </c>
      <c r="D168" s="8" t="s">
        <v>14</v>
      </c>
      <c r="E168" s="9" t="s">
        <v>1051</v>
      </c>
      <c r="F168" s="9" t="s">
        <v>38</v>
      </c>
      <c r="G168" s="11" t="s">
        <v>44</v>
      </c>
      <c r="H168" s="22" t="s">
        <v>15</v>
      </c>
      <c r="I168" s="11" t="s">
        <v>63</v>
      </c>
      <c r="J168" s="9" t="s">
        <v>1052</v>
      </c>
      <c r="K168" s="15">
        <v>45811</v>
      </c>
      <c r="L168" s="21" t="s">
        <v>1080</v>
      </c>
      <c r="M168" s="9" t="s">
        <v>38</v>
      </c>
      <c r="N168" s="15" t="s">
        <v>55</v>
      </c>
      <c r="O168" s="8" t="s">
        <v>1053</v>
      </c>
      <c r="P168" s="9" t="s">
        <v>1050</v>
      </c>
      <c r="Q168" s="16" t="s">
        <v>1054</v>
      </c>
      <c r="R168" s="17">
        <v>44791</v>
      </c>
      <c r="S168" s="18" t="s">
        <v>58</v>
      </c>
      <c r="T168" s="19" t="str">
        <f t="shared" si="6"/>
        <v xml:space="preserve"> update person
  set  id_card_no = '033091001313'
 where  id = (select employee.id from employee where employee_code='VM235');</v>
      </c>
      <c r="U168" s="34" t="str">
        <f t="shared" si="5"/>
        <v>update employee
  set  print_name_e = 'Đỗ Thành Đông',
       print_name_l = 'Đỗ Thành Đông'
 where   employee_code='VM235';</v>
      </c>
    </row>
    <row r="169" spans="1:21" s="19" customFormat="1" ht="18" customHeight="1">
      <c r="A169" s="8" t="s">
        <v>1055</v>
      </c>
      <c r="B169" s="9" t="s">
        <v>1056</v>
      </c>
      <c r="C169" s="10">
        <v>29899</v>
      </c>
      <c r="D169" s="8" t="s">
        <v>16</v>
      </c>
      <c r="E169" s="9" t="s">
        <v>162</v>
      </c>
      <c r="F169" s="9" t="s">
        <v>38</v>
      </c>
      <c r="G169" s="11" t="s">
        <v>1057</v>
      </c>
      <c r="H169" s="22" t="s">
        <v>15</v>
      </c>
      <c r="I169" s="11" t="s">
        <v>1066</v>
      </c>
      <c r="J169" s="9"/>
      <c r="K169" s="15"/>
      <c r="L169" s="21"/>
      <c r="M169" s="9" t="s">
        <v>38</v>
      </c>
      <c r="N169" s="15" t="s">
        <v>55</v>
      </c>
      <c r="O169" s="8" t="s">
        <v>1058</v>
      </c>
      <c r="P169" s="9" t="s">
        <v>1056</v>
      </c>
      <c r="Q169" s="16" t="s">
        <v>1059</v>
      </c>
      <c r="R169" s="17">
        <v>44293</v>
      </c>
      <c r="S169" s="18" t="s">
        <v>58</v>
      </c>
      <c r="T169" s="19" t="str">
        <f t="shared" ref="T169" si="7">" update person
  set  id_card_no = '"&amp;Q169&amp;"'
 where  id = (select employee.id from employee where employee_code='"&amp;A169&amp;"');"</f>
        <v xml:space="preserve"> update person
  set  id_card_no = '079181014660'
 where  id = (select employee.id from employee where employee_code='VM173');</v>
      </c>
      <c r="U169" s="34" t="str">
        <f t="shared" si="5"/>
        <v>update employee
  set  print_name_e = 'Võ Ngọc Lan',
       print_name_l = 'Võ Ngọc Lan'
 where   employee_code='VM173';</v>
      </c>
    </row>
    <row r="170" spans="1:21" s="19" customFormat="1" ht="18" customHeight="1"/>
    <row r="171" spans="1:21" s="19" customFormat="1" ht="18" customHeight="1"/>
    <row r="172" spans="1:21" s="19" customFormat="1" ht="18" customHeight="1"/>
    <row r="173" spans="1:21" s="19" customFormat="1" ht="18" customHeight="1"/>
    <row r="174" spans="1:21" s="19" customFormat="1" ht="18" customHeight="1"/>
    <row r="175" spans="1:21" s="19" customFormat="1" ht="18" customHeight="1"/>
    <row r="176" spans="1:21" s="19" customFormat="1" ht="18" customHeight="1"/>
    <row r="177" s="19" customFormat="1" ht="18" customHeight="1"/>
    <row r="178" s="19" customFormat="1" ht="18" customHeight="1"/>
    <row r="179" s="19" customFormat="1" ht="18" customHeight="1"/>
    <row r="180" s="19" customFormat="1" ht="18" customHeight="1"/>
    <row r="181" s="19" customFormat="1" ht="18" customHeight="1"/>
    <row r="182" s="19" customFormat="1" ht="18" customHeight="1"/>
    <row r="183" s="19" customFormat="1" ht="18" customHeight="1"/>
    <row r="184" s="19" customFormat="1" ht="18" customHeight="1"/>
    <row r="185" s="19" customFormat="1" ht="18" customHeight="1"/>
    <row r="186" s="19" customFormat="1" ht="18" customHeight="1"/>
    <row r="187" s="19" customFormat="1" ht="18" customHeight="1"/>
    <row r="188" s="19" customFormat="1" ht="18" customHeight="1"/>
    <row r="189" s="19" customFormat="1" ht="18" customHeight="1"/>
    <row r="190" s="19" customFormat="1" ht="18" customHeight="1"/>
    <row r="191" s="19" customFormat="1" ht="18" customHeight="1"/>
    <row r="192" s="19" customFormat="1" ht="18" customHeight="1"/>
    <row r="193" s="19" customFormat="1" ht="18" customHeight="1"/>
    <row r="194" s="19" customFormat="1" ht="18" customHeight="1"/>
    <row r="195" s="19" customFormat="1" ht="18" customHeight="1"/>
    <row r="196" s="19" customFormat="1" ht="18" customHeight="1"/>
    <row r="197" s="19" customFormat="1" ht="18" customHeight="1"/>
    <row r="198" s="19" customFormat="1" ht="18" customHeight="1"/>
    <row r="199" s="19" customFormat="1" ht="18" customHeight="1"/>
    <row r="200" s="19" customFormat="1" ht="18" customHeight="1"/>
    <row r="201" s="19" customFormat="1" ht="18" customHeight="1"/>
    <row r="202" s="19" customFormat="1" ht="18" customHeight="1"/>
    <row r="203" s="19" customFormat="1" ht="18" customHeight="1"/>
    <row r="204" s="19" customFormat="1" ht="18" customHeight="1"/>
    <row r="205" s="19" customFormat="1" ht="18" customHeight="1"/>
    <row r="206" s="19" customFormat="1" ht="18" customHeight="1"/>
    <row r="207" s="19" customFormat="1" ht="18" customHeight="1"/>
    <row r="208" s="19" customFormat="1" ht="18" customHeight="1"/>
    <row r="209" s="19" customFormat="1" ht="18" customHeight="1"/>
    <row r="210" s="19" customFormat="1" ht="18" customHeight="1"/>
    <row r="211" s="19" customFormat="1" ht="18" customHeight="1"/>
    <row r="212" s="19" customFormat="1" ht="18" customHeight="1"/>
    <row r="213" s="19" customFormat="1" ht="18" customHeight="1"/>
    <row r="214" s="19" customFormat="1" ht="18" customHeight="1"/>
    <row r="215" s="19" customFormat="1" ht="18" customHeight="1"/>
    <row r="216" s="19" customFormat="1" ht="18" customHeight="1"/>
    <row r="217" s="19" customFormat="1" ht="18" customHeight="1"/>
    <row r="218" s="19" customFormat="1" ht="18" customHeight="1"/>
    <row r="219" s="19" customFormat="1" ht="18" customHeight="1"/>
    <row r="220" s="19" customFormat="1" ht="18" customHeight="1"/>
    <row r="221" s="19" customFormat="1" ht="18" customHeight="1"/>
    <row r="222" s="19" customFormat="1" ht="18" customHeight="1"/>
    <row r="223" s="19" customFormat="1" ht="18" customHeight="1"/>
    <row r="224" s="19" customFormat="1" ht="18" customHeight="1"/>
    <row r="225" s="19" customFormat="1" ht="18" customHeight="1"/>
    <row r="226" s="19" customFormat="1" ht="18" customHeight="1"/>
    <row r="227" s="19" customFormat="1" ht="18" customHeight="1"/>
    <row r="228" s="19" customFormat="1" ht="18" customHeight="1"/>
    <row r="229" s="19" customFormat="1" ht="18" customHeight="1"/>
    <row r="230" s="19" customFormat="1" ht="18" customHeight="1"/>
    <row r="231" s="19" customFormat="1" ht="18" customHeight="1"/>
    <row r="232" s="19" customFormat="1" ht="18" customHeight="1"/>
    <row r="233" s="19" customFormat="1" ht="18" customHeight="1"/>
    <row r="234" s="19" customFormat="1" ht="18" customHeight="1"/>
    <row r="235" s="19" customFormat="1" ht="18" customHeight="1"/>
    <row r="236" s="19" customFormat="1" ht="18" customHeight="1"/>
    <row r="237" s="19" customFormat="1" ht="18" customHeight="1"/>
    <row r="238" s="19" customFormat="1" ht="18" customHeight="1"/>
    <row r="239" s="19" customFormat="1" ht="18" customHeight="1"/>
    <row r="240" s="19" customFormat="1" ht="18" customHeight="1"/>
    <row r="241" s="19" customFormat="1" ht="18" customHeight="1"/>
    <row r="242" s="19" customFormat="1" ht="18" customHeight="1"/>
    <row r="243" s="19" customFormat="1" ht="18" customHeight="1"/>
    <row r="244" s="19" customFormat="1" ht="18" customHeight="1"/>
    <row r="245" s="19" customFormat="1" ht="18" customHeight="1"/>
    <row r="246" s="19" customFormat="1" ht="18" customHeight="1"/>
    <row r="247" s="19" customFormat="1" ht="18" customHeight="1"/>
    <row r="248" s="19" customFormat="1" ht="18" customHeight="1"/>
    <row r="249" s="19" customFormat="1" ht="18" customHeight="1"/>
    <row r="250" s="19" customFormat="1" ht="18" customHeight="1"/>
    <row r="251" s="19" customFormat="1" ht="18" customHeight="1"/>
    <row r="252" s="19" customFormat="1" ht="18" customHeight="1"/>
    <row r="253" s="19" customFormat="1" ht="18" customHeight="1"/>
    <row r="254" s="19" customFormat="1" ht="18" customHeight="1"/>
    <row r="255" s="19" customFormat="1" ht="18" customHeight="1"/>
    <row r="256" s="19" customFormat="1" ht="18" customHeight="1"/>
    <row r="257" s="19" customFormat="1" ht="18" customHeight="1"/>
    <row r="258" s="19" customFormat="1" ht="18" customHeight="1"/>
    <row r="259" s="19" customFormat="1" ht="18" customHeight="1"/>
    <row r="260" s="19" customFormat="1" ht="18" customHeight="1"/>
    <row r="261" s="19" customFormat="1" ht="18" customHeight="1"/>
    <row r="262" s="19" customFormat="1" ht="18" customHeight="1"/>
    <row r="263" s="19" customFormat="1" ht="18" customHeight="1"/>
    <row r="264" s="19" customFormat="1" ht="18" customHeight="1"/>
    <row r="265" s="19" customFormat="1" ht="18" customHeight="1"/>
    <row r="266" s="19" customFormat="1" ht="18" customHeight="1"/>
    <row r="267" s="19" customFormat="1" ht="18" customHeight="1"/>
    <row r="268" s="19" customFormat="1" ht="18" customHeight="1"/>
    <row r="269" s="19" customFormat="1" ht="18" customHeight="1"/>
    <row r="270" s="19" customFormat="1" ht="18" customHeight="1"/>
    <row r="271" s="19" customFormat="1" ht="18" customHeight="1"/>
    <row r="272" s="19" customFormat="1" ht="18" customHeight="1"/>
    <row r="273" s="19" customFormat="1" ht="18" customHeight="1"/>
    <row r="274" s="19" customFormat="1" ht="18" customHeight="1"/>
    <row r="275" s="19" customFormat="1" ht="18" customHeight="1"/>
    <row r="276" s="19" customFormat="1" ht="18" customHeight="1"/>
    <row r="277" s="19" customFormat="1" ht="18" customHeight="1"/>
    <row r="278" s="19" customFormat="1" ht="18" customHeight="1"/>
    <row r="279" s="19" customFormat="1" ht="18" customHeight="1"/>
    <row r="280" s="19" customFormat="1" ht="18" customHeight="1"/>
    <row r="281" s="19" customFormat="1" ht="18" customHeight="1"/>
    <row r="282" s="19" customFormat="1" ht="18" customHeight="1"/>
    <row r="283" s="19" customFormat="1" ht="18" customHeight="1"/>
    <row r="284" s="19" customFormat="1" ht="18" customHeight="1"/>
    <row r="285" s="19" customFormat="1" ht="18" customHeight="1"/>
    <row r="286" s="19" customFormat="1" ht="18" customHeight="1"/>
    <row r="287" s="19" customFormat="1" ht="18" customHeight="1"/>
    <row r="288" s="19" customFormat="1" ht="18" customHeight="1"/>
    <row r="289" s="19" customFormat="1" ht="18" customHeight="1"/>
    <row r="290" s="19" customFormat="1" ht="18" customHeight="1"/>
    <row r="291" s="19" customFormat="1" ht="18" customHeight="1"/>
    <row r="292" s="19" customFormat="1" ht="18" customHeight="1"/>
    <row r="293" s="19" customFormat="1" ht="18" customHeight="1"/>
    <row r="294" s="19" customFormat="1" ht="18" customHeight="1"/>
    <row r="295" s="19" customFormat="1" ht="18" customHeight="1"/>
    <row r="296" s="19" customFormat="1" ht="18" customHeight="1"/>
    <row r="297" s="19" customFormat="1" ht="18" customHeight="1"/>
    <row r="298" s="19" customFormat="1" ht="18" customHeight="1"/>
    <row r="299" s="19" customFormat="1" ht="18" customHeight="1"/>
    <row r="300" s="19" customFormat="1" ht="18" customHeight="1"/>
    <row r="301" s="19" customFormat="1" ht="18" customHeight="1"/>
    <row r="302" s="19" customFormat="1" ht="18" customHeight="1"/>
    <row r="303" s="19" customFormat="1" ht="18" customHeight="1"/>
    <row r="304" s="19" customFormat="1" ht="18" customHeight="1"/>
    <row r="305" s="19" customFormat="1" ht="18" customHeight="1"/>
    <row r="306" s="19" customFormat="1" ht="18" customHeight="1"/>
    <row r="307" s="19" customFormat="1" ht="18" customHeight="1"/>
    <row r="308" s="19" customFormat="1" ht="18" customHeight="1"/>
    <row r="309" s="19" customFormat="1" ht="18" customHeight="1"/>
    <row r="310" s="19" customFormat="1" ht="18" customHeight="1"/>
    <row r="311" s="19" customFormat="1" ht="18" customHeight="1"/>
    <row r="312" s="19" customFormat="1" ht="18" customHeight="1"/>
    <row r="313" s="19" customFormat="1" ht="18" customHeight="1"/>
    <row r="314" s="19" customFormat="1" ht="18" customHeight="1"/>
    <row r="315" s="19" customFormat="1" ht="18" customHeight="1"/>
    <row r="316" s="19" customFormat="1" ht="18" customHeight="1"/>
    <row r="317" s="19" customFormat="1" ht="18" customHeight="1"/>
    <row r="318" s="19" customFormat="1" ht="18" customHeight="1"/>
    <row r="319" s="19" customFormat="1" ht="18" customHeight="1"/>
    <row r="320" s="19" customFormat="1" ht="18" customHeight="1"/>
    <row r="321" s="19" customFormat="1" ht="18" customHeight="1"/>
    <row r="322" s="19" customFormat="1" ht="18" customHeight="1"/>
    <row r="323" s="19" customFormat="1" ht="18" customHeight="1"/>
    <row r="324" s="19" customFormat="1" ht="18" customHeight="1"/>
    <row r="325" s="19" customFormat="1" ht="18" customHeight="1"/>
    <row r="326" s="19" customFormat="1" ht="18" customHeight="1"/>
    <row r="327" s="19" customFormat="1" ht="18" customHeight="1"/>
    <row r="328" s="19" customFormat="1" ht="18" customHeight="1"/>
    <row r="329" s="19" customFormat="1" ht="18" customHeight="1"/>
    <row r="330" s="19" customFormat="1" ht="18" customHeight="1"/>
    <row r="331" s="19" customFormat="1" ht="18" customHeight="1"/>
    <row r="332" s="19" customFormat="1" ht="18" customHeight="1"/>
    <row r="333" s="19" customFormat="1" ht="18" customHeight="1"/>
    <row r="334" s="19" customFormat="1" ht="18" customHeight="1"/>
    <row r="335" s="19" customFormat="1" ht="18" customHeight="1"/>
    <row r="336" s="19" customFormat="1" ht="18" customHeight="1"/>
    <row r="337" s="19" customFormat="1" ht="18" customHeight="1"/>
    <row r="338" s="19" customFormat="1" ht="18" customHeight="1"/>
    <row r="339" s="19" customFormat="1" ht="18" customHeight="1"/>
    <row r="340" s="19" customFormat="1" ht="18" customHeight="1"/>
    <row r="341" s="19" customFormat="1" ht="18" customHeight="1"/>
    <row r="342" s="19" customFormat="1" ht="18" customHeight="1"/>
    <row r="343" s="19" customFormat="1" ht="18" customHeight="1"/>
    <row r="344" s="19" customFormat="1" ht="18" customHeight="1"/>
    <row r="345" s="19" customFormat="1" ht="18" customHeight="1"/>
    <row r="346" s="19" customFormat="1" ht="18" customHeight="1"/>
    <row r="347" s="19" customFormat="1" ht="18" customHeight="1"/>
    <row r="348" s="19" customFormat="1" ht="18" customHeight="1"/>
    <row r="349" s="19" customFormat="1" ht="18" customHeight="1"/>
    <row r="350" s="19" customFormat="1" ht="18" customHeight="1"/>
    <row r="351" s="19" customFormat="1" ht="18" customHeight="1"/>
    <row r="352" s="19" customFormat="1" ht="18" customHeight="1"/>
    <row r="353" s="19" customFormat="1" ht="18" customHeight="1"/>
    <row r="354" s="19" customFormat="1" ht="18" customHeight="1"/>
    <row r="355" s="19" customFormat="1" ht="18" customHeight="1"/>
    <row r="356" s="19" customFormat="1" ht="18" customHeight="1"/>
    <row r="357" s="19" customFormat="1" ht="18" customHeight="1"/>
    <row r="358" s="19" customFormat="1" ht="18" customHeight="1"/>
    <row r="359" s="19" customFormat="1" ht="18" customHeight="1"/>
    <row r="360" s="19" customFormat="1" ht="18" customHeight="1"/>
    <row r="361" s="19" customFormat="1" ht="18" customHeight="1"/>
    <row r="362" s="19" customFormat="1" ht="18" customHeight="1"/>
    <row r="363" s="19" customFormat="1" ht="18" customHeight="1"/>
    <row r="364" s="19" customFormat="1" ht="18" customHeight="1"/>
    <row r="365" s="19" customFormat="1" ht="18" customHeight="1"/>
    <row r="366" s="19" customFormat="1" ht="18" customHeight="1"/>
    <row r="367" s="19" customFormat="1" ht="18" customHeight="1"/>
    <row r="368" s="19" customFormat="1" ht="18" customHeight="1"/>
    <row r="369" s="19" customFormat="1" ht="18" customHeight="1"/>
    <row r="370" s="19" customFormat="1" ht="18" customHeight="1"/>
    <row r="371" s="19" customFormat="1" ht="18" customHeight="1"/>
    <row r="372" s="19" customFormat="1" ht="18" customHeight="1"/>
    <row r="373" s="19" customFormat="1" ht="18" customHeight="1"/>
    <row r="374" s="19" customFormat="1" ht="18" customHeight="1"/>
    <row r="375" s="19" customFormat="1" ht="18" customHeight="1"/>
    <row r="376" s="19" customFormat="1" ht="18" customHeight="1"/>
    <row r="377" s="19" customFormat="1" ht="18" customHeight="1"/>
    <row r="378" s="19" customFormat="1" ht="18" customHeight="1"/>
    <row r="379" s="19" customFormat="1" ht="18" customHeight="1"/>
    <row r="380" s="19" customFormat="1" ht="18" customHeight="1"/>
    <row r="381" s="19" customFormat="1" ht="18" customHeight="1"/>
    <row r="382" s="19" customFormat="1" ht="18" customHeight="1"/>
    <row r="383" s="19" customFormat="1" ht="18" customHeight="1"/>
    <row r="384" s="19" customFormat="1" ht="18" customHeight="1"/>
    <row r="385" s="19" customFormat="1" ht="18" customHeight="1"/>
    <row r="386" s="19" customFormat="1" ht="18" customHeight="1"/>
    <row r="387" s="19" customFormat="1" ht="18" customHeight="1"/>
    <row r="388" s="19" customFormat="1" ht="18" customHeight="1"/>
    <row r="389" s="19" customFormat="1" ht="18" customHeight="1"/>
    <row r="390" s="19" customFormat="1" ht="18" customHeight="1"/>
    <row r="391" s="19" customFormat="1" ht="18" customHeight="1"/>
    <row r="392" s="19" customFormat="1" ht="18" customHeight="1"/>
    <row r="393" s="19" customFormat="1" ht="18" customHeight="1"/>
    <row r="394" s="19" customFormat="1" ht="18" customHeight="1"/>
    <row r="395" s="19" customFormat="1" ht="18" customHeight="1"/>
    <row r="396" s="19" customFormat="1" ht="18" customHeight="1"/>
    <row r="397" s="19" customFormat="1" ht="18" customHeight="1"/>
    <row r="398" s="19" customFormat="1" ht="18" customHeight="1"/>
    <row r="399" s="19" customFormat="1" ht="18" customHeight="1"/>
    <row r="400" s="19" customFormat="1" ht="18" customHeight="1"/>
    <row r="401" s="19" customFormat="1" ht="18" customHeight="1"/>
    <row r="402" s="19" customFormat="1" ht="18" customHeight="1"/>
    <row r="403" s="19" customFormat="1" ht="18" customHeight="1"/>
    <row r="404" s="19" customFormat="1" ht="18" customHeight="1"/>
    <row r="405" s="19" customFormat="1" ht="18" customHeight="1"/>
    <row r="406" s="19" customFormat="1" ht="18" customHeight="1"/>
    <row r="407" s="19" customFormat="1" ht="18" customHeight="1"/>
    <row r="408" s="19" customFormat="1" ht="18" customHeight="1"/>
    <row r="409" s="19" customFormat="1" ht="18" customHeight="1"/>
    <row r="410" s="19" customFormat="1" ht="18" customHeight="1"/>
    <row r="411" s="19" customFormat="1" ht="18" customHeight="1"/>
    <row r="412" s="19" customFormat="1" ht="18" customHeight="1"/>
    <row r="413" s="26" customFormat="1" ht="18" customHeight="1"/>
    <row r="414" s="26" customFormat="1" ht="18" customHeight="1"/>
    <row r="415" s="26" customFormat="1" ht="18" customHeight="1"/>
    <row r="416" s="26" customFormat="1" ht="18" customHeight="1"/>
    <row r="417" s="26" customFormat="1" ht="18" customHeight="1"/>
    <row r="418" s="26" customFormat="1" ht="18" customHeight="1"/>
    <row r="419" s="26" customFormat="1" ht="18" customHeight="1"/>
    <row r="420" s="26" customFormat="1" ht="18" customHeight="1"/>
    <row r="421" s="26" customFormat="1" ht="18" customHeight="1"/>
    <row r="422" s="26" customFormat="1" ht="18" customHeight="1"/>
    <row r="423" s="26" customFormat="1" ht="18" customHeight="1"/>
    <row r="424" s="26" customFormat="1" ht="18" customHeight="1"/>
    <row r="425" s="26" customFormat="1" ht="18" customHeight="1"/>
    <row r="426" s="26" customFormat="1" ht="18" customHeight="1"/>
    <row r="427" s="26" customFormat="1" ht="18" customHeight="1"/>
    <row r="428" s="26" customFormat="1" ht="18" customHeight="1"/>
    <row r="429" s="26" customFormat="1" ht="18" customHeight="1"/>
    <row r="430" s="26" customFormat="1" ht="18" customHeight="1"/>
    <row r="431" s="26" customFormat="1" ht="18" customHeight="1"/>
    <row r="432" s="26" customFormat="1" ht="18" customHeight="1"/>
    <row r="433" s="26" customFormat="1" ht="18" customHeight="1"/>
    <row r="434" s="26" customFormat="1" ht="18" customHeight="1"/>
    <row r="435" s="26" customFormat="1" ht="18" customHeight="1"/>
    <row r="436" s="26" customFormat="1" ht="18" customHeight="1"/>
    <row r="437" s="26" customFormat="1" ht="18" customHeight="1"/>
    <row r="438" s="26" customFormat="1" ht="18" customHeight="1"/>
    <row r="439" s="26" customFormat="1" ht="18" customHeight="1"/>
    <row r="440" s="26" customFormat="1" ht="18" customHeight="1"/>
    <row r="441" s="26" customFormat="1" ht="18" customHeight="1"/>
    <row r="442" s="26" customFormat="1" ht="18" customHeight="1"/>
    <row r="443" s="26" customFormat="1" ht="18" customHeight="1"/>
    <row r="444" s="26" customFormat="1" ht="18" customHeight="1"/>
    <row r="445" s="26" customFormat="1" ht="18" customHeight="1"/>
    <row r="446" s="26" customFormat="1" ht="18" customHeight="1"/>
    <row r="447" s="26" customFormat="1" ht="18" customHeight="1"/>
    <row r="448" s="26" customFormat="1" ht="18" customHeight="1"/>
    <row r="449" s="26" customFormat="1" ht="18" customHeight="1"/>
    <row r="450" s="26" customFormat="1" ht="18" customHeight="1"/>
    <row r="451" s="26" customFormat="1" ht="18" customHeight="1"/>
    <row r="452" s="26" customFormat="1" ht="18" customHeight="1"/>
    <row r="453" s="26" customFormat="1" ht="18" customHeight="1"/>
    <row r="454" s="26" customFormat="1" ht="18" customHeight="1"/>
    <row r="455" s="26" customFormat="1" ht="18" customHeight="1"/>
    <row r="456" s="26" customFormat="1" ht="18" customHeight="1"/>
    <row r="457" s="26" customFormat="1" ht="18" customHeight="1"/>
    <row r="458" s="26" customFormat="1" ht="18" customHeight="1"/>
    <row r="459" s="26" customFormat="1" ht="18" customHeight="1"/>
    <row r="460" s="26" customFormat="1" ht="18" customHeight="1"/>
    <row r="461" s="26" customFormat="1" ht="18" customHeight="1"/>
    <row r="462" s="26" customFormat="1" ht="18" customHeight="1"/>
    <row r="463" s="26" customFormat="1" ht="18" customHeight="1"/>
    <row r="464" s="26" customFormat="1" ht="18" customHeight="1"/>
    <row r="465" s="26" customFormat="1" ht="18" customHeight="1"/>
    <row r="466" s="26" customFormat="1" ht="18" customHeight="1"/>
    <row r="467" s="26" customFormat="1" ht="18" customHeight="1"/>
    <row r="468" s="26" customFormat="1" ht="18" customHeight="1"/>
    <row r="469" s="26" customFormat="1" ht="18" customHeight="1"/>
    <row r="470" s="26" customFormat="1" ht="18" customHeight="1"/>
    <row r="471" s="26" customFormat="1" ht="18" customHeight="1"/>
    <row r="472" s="26" customFormat="1" ht="18" customHeight="1"/>
    <row r="473" s="26" customFormat="1" ht="18" customHeight="1"/>
    <row r="474" s="26" customFormat="1" ht="18" customHeight="1"/>
    <row r="475" s="26" customFormat="1" ht="18" customHeight="1"/>
    <row r="476" s="26" customFormat="1" ht="18" customHeight="1"/>
    <row r="477" s="26" customFormat="1" ht="18" customHeight="1"/>
    <row r="478" s="26" customFormat="1" ht="18" customHeight="1"/>
    <row r="479" s="26" customFormat="1" ht="18" customHeight="1"/>
    <row r="480" s="26" customFormat="1" ht="18" customHeight="1"/>
    <row r="481" s="26" customFormat="1" ht="18" customHeight="1"/>
    <row r="482" s="26" customFormat="1" ht="18" customHeight="1"/>
    <row r="483" s="26" customFormat="1" ht="18" customHeight="1"/>
    <row r="484" s="26" customFormat="1" ht="18" customHeight="1"/>
    <row r="485" s="26" customFormat="1" ht="18" customHeight="1"/>
    <row r="486" s="26" customFormat="1" ht="18" customHeight="1"/>
    <row r="487" s="26" customFormat="1" ht="18" customHeight="1"/>
    <row r="488" s="26" customFormat="1" ht="18" customHeight="1"/>
    <row r="489" s="26" customFormat="1" ht="18" customHeight="1"/>
    <row r="490" s="26" customFormat="1" ht="18" customHeight="1"/>
    <row r="491" s="26" customFormat="1" ht="18" customHeight="1"/>
    <row r="492" s="26" customFormat="1" ht="18" customHeight="1"/>
    <row r="493" s="26" customFormat="1" ht="18" customHeight="1"/>
    <row r="494" s="26" customFormat="1" ht="18" customHeight="1"/>
    <row r="495" s="26" customFormat="1" ht="18" customHeight="1"/>
    <row r="496" s="26" customFormat="1" ht="18" customHeight="1"/>
    <row r="497" s="26" customFormat="1" ht="18" customHeight="1"/>
    <row r="498" s="26" customFormat="1" ht="18" customHeight="1"/>
    <row r="499" s="26" customFormat="1" ht="18" customHeight="1"/>
    <row r="500" s="26" customFormat="1" ht="18" customHeight="1"/>
    <row r="501" s="26" customFormat="1" ht="18" customHeight="1"/>
    <row r="502" s="26" customFormat="1" ht="18" customHeight="1"/>
    <row r="503" s="26" customFormat="1" ht="18" customHeight="1"/>
    <row r="504" s="26" customFormat="1" ht="18" customHeight="1"/>
    <row r="505" s="26" customFormat="1" ht="18" customHeight="1"/>
    <row r="506" s="26" customFormat="1" ht="18" customHeight="1"/>
    <row r="507" s="26" customFormat="1" ht="18" customHeight="1"/>
    <row r="508" s="26" customFormat="1" ht="18" customHeight="1"/>
    <row r="509" s="26" customFormat="1" ht="18" customHeight="1"/>
    <row r="510" s="26" customFormat="1" ht="18" customHeight="1"/>
    <row r="511" s="26" customFormat="1" ht="18" customHeight="1"/>
    <row r="512" s="26" customFormat="1" ht="18" customHeight="1"/>
    <row r="513" s="26" customFormat="1" ht="18" customHeight="1"/>
    <row r="514" s="26" customFormat="1" ht="18" customHeight="1"/>
    <row r="515" s="26" customFormat="1" ht="18" customHeight="1"/>
    <row r="516" s="26" customFormat="1" ht="18" customHeight="1"/>
    <row r="517" s="26" customFormat="1" ht="18" customHeight="1"/>
    <row r="518" s="26" customFormat="1" ht="18" customHeight="1"/>
    <row r="519" s="26" customFormat="1" ht="18" customHeight="1"/>
    <row r="520" s="26" customFormat="1" ht="18" customHeight="1"/>
    <row r="521" s="26" customFormat="1" ht="18" customHeight="1"/>
    <row r="522" s="26" customFormat="1" ht="18" customHeight="1"/>
    <row r="523" s="26" customFormat="1" ht="18" customHeight="1"/>
    <row r="524" s="26" customFormat="1" ht="18" customHeight="1"/>
    <row r="525" s="26" customFormat="1" ht="18" customHeight="1"/>
    <row r="526" s="26" customFormat="1" ht="18" customHeight="1"/>
    <row r="527" s="26" customFormat="1" ht="18" customHeight="1"/>
    <row r="528" s="26" customFormat="1" ht="18" customHeight="1"/>
    <row r="529" s="26" customFormat="1" ht="18" customHeight="1"/>
    <row r="530" s="26" customFormat="1" ht="18" customHeight="1"/>
    <row r="531" s="26" customFormat="1" ht="18" customHeight="1"/>
    <row r="532" s="26" customFormat="1" ht="18" customHeight="1"/>
    <row r="533" s="26" customFormat="1" ht="18" customHeight="1"/>
    <row r="534" s="26" customFormat="1" ht="18" customHeight="1"/>
    <row r="535" s="26" customFormat="1" ht="18" customHeight="1"/>
    <row r="536" s="26" customFormat="1" ht="18" customHeight="1"/>
    <row r="537" s="26" customFormat="1" ht="18" customHeight="1"/>
    <row r="538" s="26" customFormat="1" ht="18" customHeight="1"/>
    <row r="539" s="26" customFormat="1" ht="18" customHeight="1"/>
    <row r="540" s="26" customFormat="1" ht="18" customHeight="1"/>
    <row r="541" s="26" customFormat="1" ht="18" customHeight="1"/>
    <row r="542" s="26" customFormat="1" ht="18" customHeight="1"/>
    <row r="543" s="26" customFormat="1" ht="18" customHeight="1"/>
    <row r="544" s="26" customFormat="1" ht="18" customHeight="1"/>
    <row r="545" s="26" customFormat="1" ht="18" customHeight="1"/>
    <row r="546" s="26" customFormat="1" ht="18" customHeight="1"/>
    <row r="547" s="26" customFormat="1" ht="18" customHeight="1"/>
    <row r="548" s="26" customFormat="1" ht="18" customHeight="1"/>
    <row r="549" s="26" customFormat="1" ht="18" customHeight="1"/>
    <row r="550" s="26" customFormat="1" ht="18" customHeight="1"/>
    <row r="551" s="26" customFormat="1" ht="18" customHeight="1"/>
    <row r="552" s="26" customFormat="1" ht="18" customHeight="1"/>
    <row r="553" s="26" customFormat="1" ht="18" customHeight="1"/>
    <row r="554" s="26" customFormat="1" ht="18" customHeight="1"/>
    <row r="555" s="26" customFormat="1" ht="18" customHeight="1"/>
    <row r="556" s="26" customFormat="1" ht="18" customHeight="1"/>
    <row r="557" s="26" customFormat="1" ht="18" customHeight="1"/>
    <row r="558" s="26" customFormat="1" ht="18" customHeight="1"/>
    <row r="559" s="26" customFormat="1" ht="18" customHeight="1"/>
    <row r="560" s="26" customFormat="1" ht="18" customHeight="1"/>
    <row r="561" s="26" customFormat="1" ht="18" customHeight="1"/>
    <row r="562" s="26" customFormat="1" ht="18" customHeight="1"/>
    <row r="563" s="26" customFormat="1" ht="18" customHeight="1"/>
    <row r="564" s="26" customFormat="1" ht="18" customHeight="1"/>
    <row r="565" s="26" customFormat="1" ht="18" customHeight="1"/>
    <row r="566" s="26" customFormat="1" ht="18" customHeight="1"/>
    <row r="567" s="26" customFormat="1" ht="18" customHeight="1"/>
    <row r="568" s="26" customFormat="1" ht="18" customHeight="1"/>
    <row r="569" s="26" customFormat="1" ht="18" customHeight="1"/>
    <row r="570" s="26" customFormat="1" ht="18" customHeight="1"/>
    <row r="571" s="26" customFormat="1" ht="18" customHeight="1"/>
    <row r="572" s="26" customFormat="1" ht="18" customHeight="1"/>
    <row r="573" s="26" customFormat="1" ht="18" customHeight="1"/>
    <row r="574" s="26" customFormat="1" ht="18" customHeight="1"/>
    <row r="575" s="26" customFormat="1" ht="18" customHeight="1"/>
    <row r="576" s="26" customFormat="1" ht="18" customHeight="1"/>
    <row r="577" s="26" customFormat="1" ht="18" customHeight="1"/>
    <row r="578" s="26" customFormat="1" ht="18" customHeight="1"/>
    <row r="579" s="26" customFormat="1" ht="18" customHeight="1"/>
    <row r="580" s="26" customFormat="1" ht="18" customHeight="1"/>
    <row r="581" s="26" customFormat="1" ht="18" customHeight="1"/>
    <row r="582" s="26" customFormat="1" ht="18" customHeight="1"/>
    <row r="583" s="26" customFormat="1" ht="18" customHeight="1"/>
    <row r="584" s="26" customFormat="1" ht="18" customHeight="1"/>
    <row r="585" s="26" customFormat="1" ht="18" customHeight="1"/>
    <row r="586" s="26" customFormat="1" ht="18" customHeight="1"/>
    <row r="587" s="26" customFormat="1" ht="18" customHeight="1"/>
    <row r="588" s="26" customFormat="1" ht="18" customHeight="1"/>
    <row r="589" s="26" customFormat="1" ht="18" customHeight="1"/>
    <row r="590" s="26" customFormat="1" ht="18" customHeight="1"/>
    <row r="591" s="26" customFormat="1" ht="18" customHeight="1"/>
    <row r="592" s="26" customFormat="1" ht="18" customHeight="1"/>
    <row r="593" s="26" customFormat="1" ht="18" customHeight="1"/>
    <row r="594" s="26" customFormat="1" ht="18" customHeight="1"/>
    <row r="595" s="26" customFormat="1" ht="18" customHeight="1"/>
    <row r="596" s="26" customFormat="1" ht="18" customHeight="1"/>
    <row r="597" s="26" customFormat="1" ht="18" customHeight="1"/>
    <row r="598" s="26" customFormat="1" ht="18" customHeight="1"/>
    <row r="599" s="26" customFormat="1" ht="18" customHeight="1"/>
    <row r="600" s="26" customFormat="1" ht="18" customHeight="1"/>
    <row r="601" s="26" customFormat="1" ht="18" customHeight="1"/>
    <row r="602" s="26" customFormat="1" ht="18" customHeight="1"/>
    <row r="603" s="26" customFormat="1" ht="18" customHeight="1"/>
    <row r="604" s="26" customFormat="1" ht="18" customHeight="1"/>
    <row r="605" s="26" customFormat="1" ht="18" customHeight="1"/>
    <row r="606" s="26" customFormat="1" ht="18" customHeight="1"/>
    <row r="607" s="26" customFormat="1" ht="18" customHeight="1"/>
    <row r="608" s="26" customFormat="1" ht="18" customHeight="1"/>
    <row r="609" s="26" customFormat="1" ht="18" customHeight="1"/>
    <row r="610" s="26" customFormat="1" ht="18" customHeight="1"/>
    <row r="611" s="26" customFormat="1" ht="18" customHeight="1"/>
    <row r="612" s="26" customFormat="1" ht="18" customHeight="1"/>
    <row r="613" s="26" customFormat="1" ht="18" customHeight="1"/>
    <row r="614" s="26" customFormat="1" ht="18" customHeight="1"/>
    <row r="615" s="26" customFormat="1" ht="18" customHeight="1"/>
    <row r="616" s="26" customFormat="1" ht="18" customHeight="1"/>
    <row r="617" s="26" customFormat="1" ht="18" customHeight="1"/>
    <row r="618" s="26" customFormat="1" ht="18" customHeight="1"/>
    <row r="619" s="26" customFormat="1" ht="18" customHeight="1"/>
    <row r="620" s="26" customFormat="1" ht="18" customHeight="1"/>
    <row r="621" s="26" customFormat="1" ht="18" customHeight="1"/>
    <row r="622" s="26" customFormat="1" ht="18" customHeight="1"/>
    <row r="623" s="26" customFormat="1" ht="18" customHeight="1"/>
    <row r="624" s="26" customFormat="1" ht="18" customHeight="1"/>
    <row r="625" s="26" customFormat="1" ht="18" customHeight="1"/>
    <row r="626" s="26" customFormat="1" ht="18" customHeight="1"/>
    <row r="627" s="26" customFormat="1" ht="18" customHeight="1"/>
    <row r="628" s="26" customFormat="1" ht="18" customHeight="1"/>
    <row r="629" s="26" customFormat="1" ht="18" customHeight="1"/>
    <row r="630" s="26" customFormat="1" ht="18" customHeight="1"/>
    <row r="631" s="26" customFormat="1" ht="18" customHeight="1"/>
    <row r="632" s="26" customFormat="1" ht="18" customHeight="1"/>
    <row r="633" s="26" customFormat="1" ht="18" customHeight="1"/>
    <row r="634" s="26" customFormat="1" ht="18" customHeight="1"/>
    <row r="635" s="26" customFormat="1" ht="18" customHeight="1"/>
    <row r="636" s="26" customFormat="1" ht="18" customHeight="1"/>
    <row r="637" s="26" customFormat="1" ht="18" customHeight="1"/>
    <row r="638" s="26" customFormat="1" ht="18" customHeight="1"/>
    <row r="639" s="26" customFormat="1" ht="18" customHeight="1"/>
    <row r="640" s="26" customFormat="1" ht="18" customHeight="1"/>
    <row r="641" s="26" customFormat="1" ht="18" customHeight="1"/>
    <row r="642" s="26" customFormat="1" ht="18" customHeight="1"/>
    <row r="643" s="26" customFormat="1" ht="18" customHeight="1"/>
    <row r="644" s="26" customFormat="1" ht="18" customHeight="1"/>
    <row r="645" s="26" customFormat="1" ht="18" customHeight="1"/>
    <row r="646" s="26" customFormat="1" ht="18" customHeight="1"/>
    <row r="647" s="26" customFormat="1" ht="18" customHeight="1"/>
    <row r="648" s="26" customFormat="1" ht="18" customHeight="1"/>
    <row r="649" s="26" customFormat="1" ht="18" customHeight="1"/>
    <row r="650" s="26" customFormat="1" ht="18" customHeight="1"/>
    <row r="651" s="26" customFormat="1" ht="18" customHeight="1"/>
    <row r="652" s="26" customFormat="1" ht="18" customHeight="1"/>
    <row r="653" s="26" customFormat="1" ht="18" customHeight="1"/>
    <row r="654" s="26" customFormat="1" ht="18" customHeight="1"/>
    <row r="655" s="26" customFormat="1" ht="18" customHeight="1"/>
    <row r="656" s="26" customFormat="1" ht="18" customHeight="1"/>
    <row r="657" s="26" customFormat="1" ht="18" customHeight="1"/>
    <row r="658" s="26" customFormat="1" ht="18" customHeight="1"/>
    <row r="659" s="26" customFormat="1" ht="18" customHeight="1"/>
    <row r="660" s="26" customFormat="1" ht="18" customHeight="1"/>
    <row r="661" s="26" customFormat="1" ht="18" customHeight="1"/>
    <row r="662" s="26" customFormat="1" ht="18" customHeight="1"/>
    <row r="663" s="26" customFormat="1" ht="18" customHeight="1"/>
    <row r="664" s="26" customFormat="1" ht="18" customHeight="1"/>
    <row r="665" s="26" customFormat="1" ht="18" customHeight="1"/>
    <row r="666" s="26" customFormat="1" ht="18" customHeight="1"/>
    <row r="667" s="26" customFormat="1" ht="18" customHeight="1"/>
    <row r="668" s="26" customFormat="1" ht="18" customHeight="1"/>
    <row r="669" s="26" customFormat="1" ht="18" customHeight="1"/>
    <row r="670" s="26" customFormat="1" ht="18" customHeight="1"/>
    <row r="671" s="26" customFormat="1" ht="18" customHeight="1"/>
    <row r="672" s="26" customFormat="1" ht="18" customHeight="1"/>
    <row r="673" s="26" customFormat="1" ht="18" customHeight="1"/>
    <row r="674" s="26" customFormat="1" ht="18" customHeight="1"/>
    <row r="675" s="26" customFormat="1" ht="18" customHeight="1"/>
    <row r="676" s="26" customFormat="1" ht="18" customHeight="1"/>
    <row r="677" s="26" customFormat="1" ht="18" customHeight="1"/>
    <row r="678" s="26" customFormat="1" ht="18" customHeight="1"/>
    <row r="679" s="26" customFormat="1" ht="18" customHeight="1"/>
    <row r="680" s="26" customFormat="1" ht="18" customHeight="1"/>
    <row r="681" s="26" customFormat="1" ht="18" customHeight="1"/>
    <row r="682" s="26" customFormat="1" ht="18" customHeight="1"/>
    <row r="683" s="26" customFormat="1" ht="18" customHeight="1"/>
    <row r="684" s="26" customFormat="1" ht="18" customHeight="1"/>
    <row r="685" s="26" customFormat="1" ht="18" customHeight="1"/>
    <row r="686" s="26" customFormat="1" ht="18" customHeight="1"/>
    <row r="687" s="26" customFormat="1" ht="18" customHeight="1"/>
    <row r="688" s="26" customFormat="1" ht="18" customHeight="1"/>
    <row r="689" s="26" customFormat="1" ht="18" customHeight="1"/>
    <row r="690" s="26" customFormat="1" ht="18" customHeight="1"/>
    <row r="691" s="26" customFormat="1" ht="18" customHeight="1"/>
    <row r="692" s="26" customFormat="1" ht="18" customHeight="1"/>
    <row r="693" s="26" customFormat="1" ht="18" customHeight="1"/>
    <row r="694" s="26" customFormat="1" ht="18" customHeight="1"/>
    <row r="695" s="26" customFormat="1" ht="18" customHeight="1"/>
    <row r="696" s="26" customFormat="1" ht="18" customHeight="1"/>
    <row r="697" s="26" customFormat="1" ht="18" customHeight="1"/>
    <row r="698" s="26" customFormat="1" ht="18" customHeight="1"/>
    <row r="699" s="26" customFormat="1" ht="18" customHeight="1"/>
    <row r="700" s="26" customFormat="1" ht="18" customHeight="1"/>
    <row r="701" s="26" customFormat="1" ht="18" customHeight="1"/>
    <row r="702" s="26" customFormat="1" ht="18" customHeight="1"/>
    <row r="703" s="26" customFormat="1" ht="18" customHeight="1"/>
    <row r="704" s="26" customFormat="1" ht="18" customHeight="1"/>
    <row r="705" s="26" customFormat="1" ht="18" customHeight="1"/>
    <row r="706" s="26" customFormat="1" ht="18" customHeight="1"/>
    <row r="707" s="26" customFormat="1" ht="18" customHeight="1"/>
    <row r="708" s="26" customFormat="1" ht="18" customHeight="1"/>
    <row r="709" s="26" customFormat="1" ht="18" customHeight="1"/>
    <row r="710" s="26" customFormat="1" ht="18" customHeight="1"/>
    <row r="711" s="26" customFormat="1" ht="18" customHeight="1"/>
    <row r="712" s="26" customFormat="1" ht="18" customHeight="1"/>
    <row r="713" s="26" customFormat="1" ht="18" customHeight="1"/>
    <row r="714" s="26" customFormat="1" ht="18" customHeight="1"/>
    <row r="715" s="26" customFormat="1" ht="18" customHeight="1"/>
    <row r="716" s="26" customFormat="1" ht="18" customHeight="1"/>
    <row r="717" s="26" customFormat="1" ht="18" customHeight="1"/>
    <row r="718" s="26" customFormat="1" ht="18" customHeight="1"/>
    <row r="719" s="26" customFormat="1" ht="18" customHeight="1"/>
    <row r="720" s="26" customFormat="1" ht="18" customHeight="1"/>
    <row r="721" s="26" customFormat="1" ht="18" customHeight="1"/>
    <row r="722" s="26" customFormat="1" ht="18" customHeight="1"/>
    <row r="723" s="26" customFormat="1" ht="18" customHeight="1"/>
    <row r="724" s="26" customFormat="1" ht="18" customHeight="1"/>
    <row r="725" s="26" customFormat="1" ht="18" customHeight="1"/>
    <row r="726" s="26" customFormat="1" ht="18" customHeight="1"/>
    <row r="727" s="26" customFormat="1" ht="18" customHeight="1"/>
    <row r="728" s="26" customFormat="1" ht="18" customHeight="1"/>
    <row r="729" s="26" customFormat="1" ht="18" customHeight="1"/>
    <row r="730" s="26" customFormat="1" ht="18" customHeight="1"/>
    <row r="731" s="26" customFormat="1" ht="18" customHeight="1"/>
    <row r="732" s="26" customFormat="1" ht="18" customHeight="1"/>
    <row r="733" s="26" customFormat="1" ht="18" customHeight="1"/>
    <row r="734" s="26" customFormat="1" ht="18" customHeight="1"/>
    <row r="735" s="26" customFormat="1" ht="18" customHeight="1"/>
    <row r="736" s="26" customFormat="1" ht="18" customHeight="1"/>
    <row r="737" s="26" customFormat="1" ht="18" customHeight="1"/>
    <row r="738" s="26" customFormat="1" ht="18" customHeight="1"/>
    <row r="739" s="26" customFormat="1" ht="18" customHeight="1"/>
    <row r="740" s="26" customFormat="1" ht="18" customHeight="1"/>
    <row r="741" s="26" customFormat="1" ht="18" customHeight="1"/>
    <row r="742" s="26" customFormat="1" ht="18" customHeight="1"/>
    <row r="743" s="26" customFormat="1" ht="18" customHeight="1"/>
    <row r="744" s="26" customFormat="1" ht="18" customHeight="1"/>
    <row r="745" s="26" customFormat="1" ht="18" customHeight="1"/>
    <row r="746" s="26" customFormat="1" ht="18" customHeight="1"/>
    <row r="747" s="26" customFormat="1" ht="18" customHeight="1"/>
    <row r="748" s="26" customFormat="1" ht="18" customHeight="1"/>
    <row r="749" s="26" customFormat="1" ht="18" customHeight="1"/>
    <row r="750" s="26" customFormat="1" ht="18" customHeight="1"/>
    <row r="751" s="26" customFormat="1" ht="18" customHeight="1"/>
    <row r="752" s="26" customFormat="1" ht="18" customHeight="1"/>
    <row r="753" s="26" customFormat="1" ht="18" customHeight="1"/>
    <row r="754" s="26" customFormat="1" ht="18" customHeight="1"/>
    <row r="755" s="26" customFormat="1" ht="18" customHeight="1"/>
    <row r="756" s="26" customFormat="1" ht="18" customHeight="1"/>
    <row r="757" s="26" customFormat="1" ht="18" customHeight="1"/>
    <row r="758" s="26" customFormat="1" ht="18" customHeight="1"/>
    <row r="759" s="26" customFormat="1" ht="18" customHeight="1"/>
    <row r="760" s="26" customFormat="1" ht="18" customHeight="1"/>
    <row r="761" s="26" customFormat="1" ht="18" customHeight="1"/>
    <row r="762" s="26" customFormat="1" ht="18" customHeight="1"/>
    <row r="763" s="26" customFormat="1" ht="18" customHeight="1"/>
    <row r="764" s="26" customFormat="1" ht="18" customHeight="1"/>
    <row r="765" s="26" customFormat="1" ht="18" customHeight="1"/>
    <row r="766" s="26" customFormat="1" ht="18" customHeight="1"/>
    <row r="767" s="26" customFormat="1" ht="18" customHeight="1"/>
    <row r="768" s="26" customFormat="1" ht="18" customHeight="1"/>
    <row r="769" s="26" customFormat="1" ht="18" customHeight="1"/>
    <row r="770" s="26" customFormat="1" ht="18" customHeight="1"/>
    <row r="771" s="26" customFormat="1" ht="18" customHeight="1"/>
    <row r="772" s="26" customFormat="1" ht="18" customHeight="1"/>
    <row r="773" s="26" customFormat="1" ht="18" customHeight="1"/>
    <row r="774" s="26" customFormat="1" ht="18" customHeight="1"/>
    <row r="775" s="26" customFormat="1" ht="18" customHeight="1"/>
    <row r="776" s="26" customFormat="1" ht="18" customHeight="1"/>
    <row r="777" s="26" customFormat="1" ht="18" customHeight="1"/>
    <row r="778" s="26" customFormat="1" ht="18" customHeight="1"/>
    <row r="779" s="26" customFormat="1" ht="18" customHeight="1"/>
    <row r="780" s="26" customFormat="1" ht="18" customHeight="1"/>
    <row r="781" s="26" customFormat="1" ht="18" customHeight="1"/>
    <row r="782" s="26" customFormat="1" ht="18" customHeight="1"/>
    <row r="783" s="26" customFormat="1" ht="18" customHeight="1"/>
    <row r="784" s="26" customFormat="1" ht="18" customHeight="1"/>
    <row r="785" s="26" customFormat="1" ht="18" customHeight="1"/>
    <row r="786" s="26" customFormat="1" ht="18" customHeight="1"/>
    <row r="787" s="26" customFormat="1" ht="18" customHeight="1"/>
    <row r="788" s="26" customFormat="1" ht="18" customHeight="1"/>
    <row r="789" s="26" customFormat="1" ht="18" customHeight="1"/>
    <row r="790" s="26" customFormat="1" ht="18" customHeight="1"/>
    <row r="791" s="26" customFormat="1" ht="18" customHeight="1"/>
    <row r="792" s="26" customFormat="1" ht="18" customHeight="1"/>
    <row r="793" s="26" customFormat="1" ht="18" customHeight="1"/>
    <row r="794" s="26" customFormat="1" ht="18" customHeight="1"/>
    <row r="795" s="26" customFormat="1" ht="18" customHeight="1"/>
    <row r="796" s="26" customFormat="1" ht="18" customHeight="1"/>
    <row r="797" s="26" customFormat="1" ht="18" customHeight="1"/>
    <row r="798" s="26" customFormat="1" ht="18" customHeight="1"/>
    <row r="799" s="26" customFormat="1" ht="18" customHeight="1"/>
    <row r="800" s="26" customFormat="1" ht="18" customHeight="1"/>
    <row r="801" s="26" customFormat="1" ht="18" customHeight="1"/>
    <row r="802" s="26" customFormat="1" ht="18" customHeight="1"/>
    <row r="803" s="26" customFormat="1" ht="18" customHeight="1"/>
    <row r="804" s="26" customFormat="1" ht="18" customHeight="1"/>
    <row r="805" s="26" customFormat="1" ht="18" customHeight="1"/>
    <row r="806" s="26" customFormat="1" ht="18" customHeight="1"/>
    <row r="807" s="26" customFormat="1" ht="18" customHeight="1"/>
    <row r="808" s="26" customFormat="1" ht="18" customHeight="1"/>
    <row r="809" s="26" customFormat="1" ht="18" customHeight="1"/>
    <row r="810" s="26" customFormat="1" ht="18" customHeight="1"/>
    <row r="811" s="26" customFormat="1" ht="18" customHeight="1"/>
    <row r="812" s="26" customFormat="1" ht="18" customHeight="1"/>
    <row r="813" s="26" customFormat="1" ht="18" customHeight="1"/>
    <row r="814" s="26" customFormat="1" ht="18" customHeight="1"/>
    <row r="815" s="26" customFormat="1" ht="18" customHeight="1"/>
    <row r="816" s="26" customFormat="1" ht="18" customHeight="1"/>
    <row r="817" s="26" customFormat="1" ht="18" customHeight="1"/>
    <row r="818" s="26" customFormat="1" ht="18" customHeight="1"/>
    <row r="819" s="26" customFormat="1" ht="18" customHeight="1"/>
    <row r="820" s="26" customFormat="1" ht="18" customHeight="1"/>
    <row r="821" s="26" customFormat="1" ht="18" customHeight="1"/>
    <row r="822" s="26" customFormat="1" ht="18" customHeight="1"/>
    <row r="823" s="26" customFormat="1" ht="18" customHeight="1"/>
    <row r="824" s="26" customFormat="1" ht="18" customHeight="1"/>
    <row r="825" s="26" customFormat="1" ht="18" customHeight="1"/>
    <row r="826" s="26" customFormat="1" ht="18" customHeight="1"/>
    <row r="827" s="26" customFormat="1" ht="18" customHeight="1"/>
    <row r="828" s="26" customFormat="1" ht="18" customHeight="1"/>
    <row r="829" s="26" customFormat="1" ht="18" customHeight="1"/>
    <row r="830" s="26" customFormat="1" ht="18" customHeight="1"/>
    <row r="831" s="26" customFormat="1" ht="18" customHeight="1"/>
    <row r="832" s="26" customFormat="1" ht="18" customHeight="1"/>
    <row r="833" s="26" customFormat="1" ht="18" customHeight="1"/>
    <row r="834" s="26" customFormat="1" ht="18" customHeight="1"/>
    <row r="835" s="26" customFormat="1" ht="18" customHeight="1"/>
    <row r="836" s="26" customFormat="1" ht="18" customHeight="1"/>
    <row r="837" s="26" customFormat="1" ht="18" customHeight="1"/>
    <row r="838" s="26" customFormat="1" ht="18" customHeight="1"/>
    <row r="839" s="26" customFormat="1" ht="18" customHeight="1"/>
    <row r="840" s="26" customFormat="1" ht="18" customHeight="1"/>
    <row r="841" s="26" customFormat="1" ht="18" customHeight="1"/>
    <row r="842" s="26" customFormat="1" ht="18" customHeight="1"/>
    <row r="843" s="26" customFormat="1" ht="18" customHeight="1"/>
    <row r="844" s="26" customFormat="1" ht="18" customHeight="1"/>
    <row r="845" s="26" customFormat="1" ht="18" customHeight="1"/>
    <row r="846" s="26" customFormat="1" ht="18" customHeight="1"/>
    <row r="847" s="26" customFormat="1" ht="18" customHeight="1"/>
    <row r="848" s="26" customFormat="1" ht="18" customHeight="1"/>
    <row r="849" s="26" customFormat="1" ht="18" customHeight="1"/>
    <row r="850" s="26" customFormat="1" ht="18" customHeight="1"/>
    <row r="851" s="26" customFormat="1" ht="18" customHeight="1"/>
    <row r="852" s="26" customFormat="1" ht="18" customHeight="1"/>
    <row r="853" s="26" customFormat="1" ht="18" customHeight="1"/>
    <row r="854" s="26" customFormat="1" ht="18" customHeight="1"/>
    <row r="855" s="26" customFormat="1" ht="18" customHeight="1"/>
    <row r="856" s="26" customFormat="1" ht="18" customHeight="1"/>
    <row r="857" s="26" customFormat="1" ht="18" customHeight="1"/>
    <row r="858" s="26" customFormat="1" ht="18" customHeight="1"/>
    <row r="859" s="26" customFormat="1" ht="18" customHeight="1"/>
    <row r="860" s="26" customFormat="1" ht="18" customHeight="1"/>
    <row r="861" s="26" customFormat="1" ht="18" customHeight="1"/>
    <row r="862" s="26" customFormat="1" ht="18" customHeight="1"/>
    <row r="863" s="26" customFormat="1" ht="18" customHeight="1"/>
    <row r="864" s="26" customFormat="1" ht="18" customHeight="1"/>
    <row r="865" s="26" customFormat="1" ht="18" customHeight="1"/>
    <row r="866" s="26" customFormat="1" ht="18" customHeight="1"/>
    <row r="867" s="26" customFormat="1" ht="18" customHeight="1"/>
    <row r="868" s="26" customFormat="1" ht="18" customHeight="1"/>
    <row r="869" s="26" customFormat="1" ht="18" customHeight="1"/>
    <row r="870" s="26" customFormat="1" ht="18" customHeight="1"/>
    <row r="871" s="26" customFormat="1" ht="18" customHeight="1"/>
    <row r="872" s="26" customFormat="1" ht="18" customHeight="1"/>
    <row r="873" s="26" customFormat="1" ht="18" customHeight="1"/>
    <row r="874" s="26" customFormat="1" ht="18" customHeight="1"/>
    <row r="875" s="26" customFormat="1" ht="18" customHeight="1"/>
    <row r="876" s="26" customFormat="1" ht="18" customHeight="1"/>
    <row r="877" s="26" customFormat="1" ht="18" customHeight="1"/>
    <row r="878" s="26" customFormat="1" ht="18" customHeight="1"/>
    <row r="879" s="26" customFormat="1" ht="18" customHeight="1"/>
    <row r="880" s="26" customFormat="1" ht="18" customHeight="1"/>
    <row r="881" s="26" customFormat="1" ht="18" customHeight="1"/>
    <row r="882" s="26" customFormat="1" ht="18" customHeight="1"/>
    <row r="883" s="26" customFormat="1" ht="18" customHeight="1"/>
    <row r="884" s="26" customFormat="1" ht="18" customHeight="1"/>
    <row r="885" s="26" customFormat="1" ht="18" customHeight="1"/>
    <row r="886" s="26" customFormat="1" ht="18" customHeight="1"/>
    <row r="887" s="26" customFormat="1" ht="18" customHeight="1"/>
    <row r="888" s="26" customFormat="1" ht="18" customHeight="1"/>
    <row r="889" s="26" customFormat="1" ht="18" customHeight="1"/>
    <row r="890" s="26" customFormat="1" ht="18" customHeight="1"/>
    <row r="891" s="26" customFormat="1" ht="18" customHeight="1"/>
    <row r="892" s="26" customFormat="1" ht="18" customHeight="1"/>
    <row r="893" s="26" customFormat="1" ht="18" customHeight="1"/>
    <row r="894" s="26" customFormat="1" ht="18" customHeight="1"/>
    <row r="895" s="26" customFormat="1" ht="18" customHeight="1"/>
    <row r="896" s="26" customFormat="1" ht="18" customHeight="1"/>
    <row r="897" s="26" customFormat="1" ht="18" customHeight="1"/>
    <row r="898" s="26" customFormat="1" ht="18" customHeight="1"/>
    <row r="899" s="26" customFormat="1" ht="18" customHeight="1"/>
    <row r="900" s="26" customFormat="1" ht="18" customHeight="1"/>
    <row r="901" s="26" customFormat="1" ht="18" customHeight="1"/>
    <row r="902" s="26" customFormat="1" ht="18" customHeight="1"/>
    <row r="903" s="26" customFormat="1" ht="18" customHeight="1"/>
    <row r="904" s="26" customFormat="1" ht="18" customHeight="1"/>
    <row r="905" s="26" customFormat="1" ht="18" customHeight="1"/>
    <row r="906" s="26" customFormat="1" ht="18" customHeight="1"/>
    <row r="907" s="26" customFormat="1" ht="18" customHeight="1"/>
    <row r="908" s="26" customFormat="1" ht="18" customHeight="1"/>
    <row r="909" s="26" customFormat="1" ht="18" customHeight="1"/>
    <row r="910" s="26" customFormat="1" ht="18" customHeight="1"/>
    <row r="911" s="26" customFormat="1" ht="18" customHeight="1"/>
    <row r="912" s="26" customFormat="1" ht="18" customHeight="1"/>
    <row r="913" s="26" customFormat="1" ht="18" customHeight="1"/>
    <row r="914" s="26" customFormat="1" ht="18" customHeight="1"/>
    <row r="915" s="26" customFormat="1" ht="18" customHeight="1"/>
    <row r="916" s="26" customFormat="1" ht="18" customHeight="1"/>
    <row r="917" s="26" customFormat="1" ht="18" customHeight="1"/>
    <row r="918" s="26" customFormat="1" ht="18" customHeight="1"/>
    <row r="919" s="26" customFormat="1" ht="18" customHeight="1"/>
    <row r="920" s="26" customFormat="1" ht="18" customHeight="1"/>
    <row r="921" s="26" customFormat="1" ht="18" customHeight="1"/>
    <row r="922" s="26" customFormat="1" ht="18" customHeight="1"/>
    <row r="923" s="26" customFormat="1" ht="18" customHeight="1"/>
    <row r="924" s="26" customFormat="1" ht="18" customHeight="1"/>
    <row r="925" s="26" customFormat="1" ht="18" customHeight="1"/>
    <row r="926" s="26" customFormat="1" ht="18" customHeight="1"/>
    <row r="927" s="26" customFormat="1" ht="18" customHeight="1"/>
    <row r="928" s="26" customFormat="1" ht="18" customHeight="1"/>
    <row r="929" s="26" customFormat="1" ht="18" customHeight="1"/>
    <row r="930" s="26" customFormat="1" ht="18" customHeight="1"/>
    <row r="931" s="26" customFormat="1" ht="18" customHeight="1"/>
    <row r="932" s="26" customFormat="1" ht="18" customHeight="1"/>
    <row r="933" s="26" customFormat="1" ht="18" customHeight="1"/>
    <row r="934" s="26" customFormat="1" ht="18" customHeight="1"/>
    <row r="935" s="26" customFormat="1" ht="18" customHeight="1"/>
    <row r="936" s="26" customFormat="1" ht="18" customHeight="1"/>
    <row r="937" s="26" customFormat="1" ht="18" customHeight="1"/>
    <row r="938" s="26" customFormat="1" ht="18" customHeight="1"/>
    <row r="939" s="26" customFormat="1" ht="18" customHeight="1"/>
    <row r="940" s="26" customFormat="1" ht="18" customHeight="1"/>
    <row r="941" s="26" customFormat="1" ht="18" customHeight="1"/>
    <row r="942" s="26" customFormat="1" ht="18" customHeight="1"/>
    <row r="943" s="26" customFormat="1" ht="18" customHeight="1"/>
    <row r="944" s="26" customFormat="1" ht="18" customHeight="1"/>
    <row r="945" s="26" customFormat="1" ht="18" customHeight="1"/>
    <row r="946" s="26" customFormat="1" ht="18" customHeight="1"/>
    <row r="947" s="26" customFormat="1" ht="18" customHeight="1"/>
    <row r="948" s="26" customFormat="1" ht="18" customHeight="1"/>
    <row r="949" s="26" customFormat="1" ht="18" customHeight="1"/>
    <row r="950" s="26" customFormat="1" ht="18" customHeight="1"/>
    <row r="951" s="26" customFormat="1" ht="18" customHeight="1"/>
    <row r="952" s="26" customFormat="1" ht="18" customHeight="1"/>
    <row r="953" s="26" customFormat="1" ht="18" customHeight="1"/>
    <row r="954" s="26" customFormat="1" ht="18" customHeight="1"/>
    <row r="955" s="26" customFormat="1" ht="18" customHeight="1"/>
    <row r="956" s="26" customFormat="1" ht="18" customHeight="1"/>
    <row r="957" s="26" customFormat="1" ht="18" customHeight="1"/>
    <row r="958" s="26" customFormat="1" ht="18" customHeight="1"/>
    <row r="959" s="26" customFormat="1" ht="18" customHeight="1"/>
    <row r="960" s="26" customFormat="1" ht="18" customHeight="1"/>
    <row r="961" s="26" customFormat="1" ht="18" customHeight="1"/>
    <row r="962" s="26" customFormat="1" ht="18" customHeight="1"/>
    <row r="963" s="26" customFormat="1" ht="18" customHeight="1"/>
    <row r="964" s="26" customFormat="1" ht="18" customHeight="1"/>
    <row r="965" s="26" customFormat="1" ht="18" customHeight="1"/>
    <row r="966" s="26" customFormat="1" ht="18" customHeight="1"/>
    <row r="967" s="26" customFormat="1" ht="18" customHeight="1"/>
    <row r="968" s="26" customFormat="1" ht="18" customHeight="1"/>
    <row r="969" s="26" customFormat="1" ht="18" customHeight="1"/>
    <row r="970" s="26" customFormat="1" ht="18" customHeight="1"/>
    <row r="971" s="26" customFormat="1" ht="18" customHeight="1"/>
    <row r="972" s="26" customFormat="1" ht="18" customHeight="1"/>
    <row r="973" s="26" customFormat="1" ht="18" customHeight="1"/>
    <row r="974" s="26" customFormat="1" ht="18" customHeight="1"/>
    <row r="975" s="26" customFormat="1" ht="18" customHeight="1"/>
    <row r="976" s="26" customFormat="1" ht="18" customHeight="1"/>
    <row r="977" s="26" customFormat="1" ht="18" customHeight="1"/>
    <row r="978" s="26" customFormat="1" ht="18" customHeight="1"/>
    <row r="979" s="26" customFormat="1" ht="18" customHeight="1"/>
    <row r="980" s="26" customFormat="1" ht="18" customHeight="1"/>
    <row r="981" s="26" customFormat="1" ht="18" customHeight="1"/>
    <row r="982" s="26" customFormat="1" ht="18" customHeight="1"/>
    <row r="983" s="26" customFormat="1" ht="18" customHeight="1"/>
    <row r="984" s="26" customFormat="1" ht="18" customHeight="1"/>
    <row r="985" s="26" customFormat="1" ht="18" customHeight="1"/>
    <row r="986" s="26" customFormat="1" ht="18" customHeight="1"/>
    <row r="987" s="26" customFormat="1" ht="18" customHeight="1"/>
    <row r="988" s="26" customFormat="1" ht="18" customHeight="1"/>
    <row r="989" s="26" customFormat="1" ht="18" customHeight="1"/>
    <row r="990" s="26" customFormat="1" ht="18" customHeight="1"/>
    <row r="991" s="26" customFormat="1" ht="18" customHeight="1"/>
    <row r="992" s="26" customFormat="1" ht="18" customHeight="1"/>
    <row r="993" s="26" customFormat="1" ht="18" customHeight="1"/>
    <row r="994" s="26" customFormat="1" ht="18" customHeight="1"/>
    <row r="995" s="26" customFormat="1" ht="18" customHeight="1"/>
    <row r="996" s="26" customFormat="1" ht="18" customHeight="1"/>
    <row r="997" s="26" customFormat="1" ht="18" customHeight="1"/>
    <row r="998" s="26" customFormat="1" ht="18" customHeight="1"/>
    <row r="999" s="26" customFormat="1" ht="18" customHeight="1"/>
    <row r="1000" s="26" customFormat="1" ht="18" customHeight="1"/>
    <row r="1001" s="26" customFormat="1" ht="18" customHeight="1"/>
    <row r="1002" s="26" customFormat="1" ht="18" customHeight="1"/>
    <row r="1003" s="26" customFormat="1" ht="18" customHeight="1"/>
    <row r="1004" s="26" customFormat="1" ht="18" customHeight="1"/>
    <row r="1005" s="26" customFormat="1" ht="18" customHeight="1"/>
    <row r="1006" s="26" customFormat="1" ht="18" customHeight="1"/>
    <row r="1007" s="26" customFormat="1" ht="18" customHeight="1"/>
    <row r="1008" s="26" customFormat="1" ht="18" customHeight="1"/>
    <row r="1009" s="26" customFormat="1" ht="18" customHeight="1"/>
    <row r="1010" s="26" customFormat="1" ht="18" customHeight="1"/>
    <row r="1011" s="26" customFormat="1" ht="18" customHeight="1"/>
    <row r="1012" s="26" customFormat="1" ht="18" customHeight="1"/>
    <row r="1013" s="26" customFormat="1" ht="18" customHeight="1"/>
    <row r="1014" s="26" customFormat="1" ht="18" customHeight="1"/>
    <row r="1015" s="26" customFormat="1" ht="18" customHeight="1"/>
    <row r="1016" s="26" customFormat="1" ht="18" customHeight="1"/>
    <row r="1017" s="26" customFormat="1" ht="18" customHeight="1"/>
    <row r="1018" s="26" customFormat="1" ht="18" customHeight="1"/>
    <row r="1019" s="26" customFormat="1" ht="18" customHeight="1"/>
    <row r="1020" s="26" customFormat="1" ht="18" customHeight="1"/>
    <row r="1021" s="26" customFormat="1" ht="18" customHeight="1"/>
    <row r="1022" s="26" customFormat="1" ht="18" customHeight="1"/>
    <row r="1023" s="26" customFormat="1" ht="18" customHeight="1"/>
    <row r="1024" s="26" customFormat="1" ht="18" customHeight="1"/>
    <row r="1025" s="26" customFormat="1" ht="18" customHeight="1"/>
    <row r="1026" s="26" customFormat="1" ht="18" customHeight="1"/>
    <row r="1027" s="26" customFormat="1" ht="18" customHeight="1"/>
    <row r="1028" s="26" customFormat="1" ht="18" customHeight="1"/>
    <row r="1029" s="26" customFormat="1" ht="18" customHeight="1"/>
    <row r="1030" s="26" customFormat="1" ht="18" customHeight="1"/>
    <row r="1031" s="26" customFormat="1" ht="18" customHeight="1"/>
    <row r="1032" s="26" customFormat="1" ht="18" customHeight="1"/>
    <row r="1033" s="26" customFormat="1" ht="18" customHeight="1"/>
    <row r="1034" s="26" customFormat="1" ht="18" customHeight="1"/>
    <row r="1035" s="26" customFormat="1" ht="18" customHeight="1"/>
    <row r="1036" s="26" customFormat="1" ht="18" customHeight="1"/>
    <row r="1037" s="26" customFormat="1" ht="18" customHeight="1"/>
    <row r="1038" s="26" customFormat="1" ht="18" customHeight="1"/>
    <row r="1039" s="26" customFormat="1" ht="18" customHeight="1"/>
    <row r="1040" s="26" customFormat="1" ht="18" customHeight="1"/>
    <row r="1041" s="26" customFormat="1" ht="18" customHeight="1"/>
    <row r="1042" s="26" customFormat="1" ht="18" customHeight="1"/>
    <row r="1043" s="26" customFormat="1" ht="18" customHeight="1"/>
    <row r="1044" s="26" customFormat="1" ht="18" customHeight="1"/>
    <row r="1045" s="26" customFormat="1" ht="18" customHeight="1"/>
    <row r="1046" s="26" customFormat="1" ht="18" customHeight="1"/>
    <row r="1047" s="26" customFormat="1" ht="18" customHeight="1"/>
    <row r="1048" s="26" customFormat="1" ht="18" customHeight="1"/>
    <row r="1049" s="26" customFormat="1" ht="18" customHeight="1"/>
    <row r="1050" s="26" customFormat="1" ht="18" customHeight="1"/>
    <row r="1051" s="26" customFormat="1" ht="18" customHeight="1"/>
    <row r="1052" s="26" customFormat="1" ht="18" customHeight="1"/>
    <row r="1053" s="26" customFormat="1" ht="18" customHeight="1"/>
    <row r="1054" s="26" customFormat="1" ht="18" customHeight="1"/>
    <row r="1055" s="26" customFormat="1" ht="18" customHeight="1"/>
    <row r="1056" s="26" customFormat="1" ht="18" customHeight="1"/>
    <row r="1057" s="26" customFormat="1" ht="18" customHeight="1"/>
    <row r="1058" s="26" customFormat="1" ht="18" customHeight="1"/>
    <row r="1059" s="26" customFormat="1" ht="18" customHeight="1"/>
    <row r="1060" s="26" customFormat="1" ht="18" customHeight="1"/>
    <row r="1061" s="26" customFormat="1" ht="18" customHeight="1"/>
    <row r="1062" s="26" customFormat="1" ht="18" customHeight="1"/>
    <row r="1063" s="26" customFormat="1" ht="18" customHeight="1"/>
    <row r="1064" s="26" customFormat="1" ht="18" customHeight="1"/>
    <row r="1065" s="26" customFormat="1" ht="18" customHeight="1"/>
    <row r="1066" s="26" customFormat="1" ht="18" customHeight="1"/>
    <row r="1067" s="26" customFormat="1" ht="18" customHeight="1"/>
    <row r="1068" s="26" customFormat="1" ht="18" customHeight="1"/>
    <row r="1069" s="26" customFormat="1" ht="18" customHeight="1"/>
    <row r="1070" s="26" customFormat="1" ht="18" customHeight="1"/>
    <row r="1071" s="26" customFormat="1" ht="18" customHeight="1"/>
    <row r="1072" s="26" customFormat="1" ht="18" customHeight="1"/>
    <row r="1073" s="26" customFormat="1" ht="18" customHeight="1"/>
    <row r="1074" s="26" customFormat="1" ht="18" customHeight="1"/>
    <row r="1075" s="26" customFormat="1" ht="18" customHeight="1"/>
    <row r="1076" s="26" customFormat="1" ht="18" customHeight="1"/>
    <row r="1077" s="26" customFormat="1" ht="18" customHeight="1"/>
    <row r="1078" s="26" customFormat="1" ht="18" customHeight="1"/>
    <row r="1079" s="26" customFormat="1" ht="18" customHeight="1"/>
    <row r="1080" s="26" customFormat="1" ht="18" customHeight="1"/>
    <row r="1081" s="26" customFormat="1" ht="18" customHeight="1"/>
    <row r="1082" s="26" customFormat="1" ht="18" customHeight="1"/>
    <row r="1083" s="26" customFormat="1" ht="18" customHeight="1"/>
    <row r="1084" s="26" customFormat="1" ht="18" customHeight="1"/>
    <row r="1085" s="26" customFormat="1" ht="18" customHeight="1"/>
    <row r="1086" s="26" customFormat="1" ht="18" customHeight="1"/>
    <row r="1087" s="26" customFormat="1" ht="18" customHeight="1"/>
    <row r="1088" s="26" customFormat="1" ht="18" customHeight="1"/>
    <row r="1089" s="26" customFormat="1" ht="18" customHeight="1"/>
    <row r="1090" s="26" customFormat="1" ht="18" customHeight="1"/>
    <row r="1091" s="26" customFormat="1" ht="18" customHeight="1"/>
    <row r="1092" s="26" customFormat="1" ht="18" customHeight="1"/>
    <row r="1093" s="26" customFormat="1" ht="18" customHeight="1"/>
    <row r="1094" s="26" customFormat="1" ht="18" customHeight="1"/>
    <row r="1095" s="26" customFormat="1" ht="18" customHeight="1"/>
    <row r="1096" s="26" customFormat="1" ht="18" customHeight="1"/>
    <row r="1097" s="26" customFormat="1" ht="18" customHeight="1"/>
    <row r="1098" s="26" customFormat="1" ht="18" customHeight="1"/>
    <row r="1099" s="26" customFormat="1" ht="18" customHeight="1"/>
    <row r="1100" s="26" customFormat="1" ht="18" customHeight="1"/>
    <row r="1101" s="26" customFormat="1" ht="18" customHeight="1"/>
    <row r="1102" s="26" customFormat="1" ht="18" customHeight="1"/>
    <row r="1103" s="26" customFormat="1" ht="18" customHeight="1"/>
    <row r="1104" s="26" customFormat="1" ht="18" customHeight="1"/>
    <row r="1105" s="26" customFormat="1" ht="18" customHeight="1"/>
    <row r="1106" s="26" customFormat="1" ht="18" customHeight="1"/>
    <row r="1107" s="26" customFormat="1" ht="18" customHeight="1"/>
    <row r="1108" s="26" customFormat="1" ht="18" customHeight="1"/>
    <row r="1109" s="26" customFormat="1" ht="18" customHeight="1"/>
    <row r="1110" s="26" customFormat="1" ht="18" customHeight="1"/>
    <row r="1111" s="26" customFormat="1" ht="18" customHeight="1"/>
    <row r="1112" s="26" customFormat="1" ht="18" customHeight="1"/>
    <row r="1113" s="26" customFormat="1" ht="18" customHeight="1"/>
    <row r="1114" s="26" customFormat="1" ht="18" customHeight="1"/>
    <row r="1115" s="26" customFormat="1" ht="18" customHeight="1"/>
    <row r="1116" s="26" customFormat="1" ht="18" customHeight="1"/>
    <row r="1117" s="26" customFormat="1" ht="18" customHeight="1"/>
    <row r="1118" s="26" customFormat="1" ht="18" customHeight="1"/>
    <row r="1119" s="26" customFormat="1" ht="18" customHeight="1"/>
    <row r="1120" s="26" customFormat="1" ht="18" customHeight="1"/>
    <row r="1121" s="26" customFormat="1" ht="18" customHeight="1"/>
    <row r="1122" s="26" customFormat="1" ht="18" customHeight="1"/>
    <row r="1123" s="26" customFormat="1" ht="18" customHeight="1"/>
    <row r="1124" s="26" customFormat="1" ht="18" customHeight="1"/>
    <row r="1125" s="26" customFormat="1" ht="18" customHeight="1"/>
    <row r="1126" s="26" customFormat="1" ht="18" customHeight="1"/>
    <row r="1127" s="26" customFormat="1" ht="18" customHeight="1"/>
    <row r="1128" s="26" customFormat="1" ht="18" customHeight="1"/>
    <row r="1129" s="26" customFormat="1" ht="18" customHeight="1"/>
    <row r="1130" s="26" customFormat="1" ht="18" customHeight="1"/>
    <row r="1131" s="26" customFormat="1" ht="18" customHeight="1"/>
    <row r="1132" s="26" customFormat="1" ht="18" customHeight="1"/>
    <row r="1133" s="26" customFormat="1" ht="18" customHeight="1"/>
    <row r="1134" s="26" customFormat="1" ht="18" customHeight="1"/>
    <row r="1135" s="26" customFormat="1" ht="18" customHeight="1"/>
    <row r="1136" s="26" customFormat="1" ht="18" customHeight="1"/>
    <row r="1137" s="26" customFormat="1" ht="18" customHeight="1"/>
    <row r="1138" s="26" customFormat="1" ht="18" customHeight="1"/>
    <row r="1139" s="26" customFormat="1" ht="18" customHeight="1"/>
    <row r="1140" s="26" customFormat="1" ht="18" customHeight="1"/>
    <row r="1141" s="26" customFormat="1" ht="18" customHeight="1"/>
    <row r="1142" s="26" customFormat="1" ht="18" customHeight="1"/>
    <row r="1143" s="26" customFormat="1" ht="18" customHeight="1"/>
    <row r="1144" s="26" customFormat="1" ht="18" customHeight="1"/>
    <row r="1145" s="26" customFormat="1" ht="18" customHeight="1"/>
    <row r="1146" s="26" customFormat="1" ht="18" customHeight="1"/>
    <row r="1147" s="26" customFormat="1" ht="18" customHeight="1"/>
    <row r="1148" s="26" customFormat="1" ht="18" customHeight="1"/>
    <row r="1149" s="26" customFormat="1" ht="18" customHeight="1"/>
    <row r="1150" s="26" customFormat="1" ht="18" customHeight="1"/>
    <row r="1151" s="26" customFormat="1" ht="18" customHeight="1"/>
    <row r="1152" s="26" customFormat="1" ht="18" customHeight="1"/>
    <row r="1153" s="26" customFormat="1" ht="18" customHeight="1"/>
    <row r="1154" s="26" customFormat="1" ht="18" customHeight="1"/>
    <row r="1155" s="26" customFormat="1" ht="18" customHeight="1"/>
    <row r="1156" s="26" customFormat="1" ht="18" customHeight="1"/>
    <row r="1157" s="26" customFormat="1" ht="18" customHeight="1"/>
    <row r="1158" s="26" customFormat="1" ht="18" customHeight="1"/>
    <row r="1159" s="26" customFormat="1" ht="18" customHeight="1"/>
    <row r="1160" s="26" customFormat="1" ht="18" customHeight="1"/>
    <row r="1161" s="26" customFormat="1" ht="18" customHeight="1"/>
    <row r="1162" s="26" customFormat="1" ht="18" customHeight="1"/>
    <row r="1163" s="26" customFormat="1" ht="18" customHeight="1"/>
    <row r="1164" s="26" customFormat="1" ht="18" customHeight="1"/>
    <row r="1165" s="26" customFormat="1" ht="18" customHeight="1"/>
    <row r="1166" s="26" customFormat="1" ht="18" customHeight="1"/>
    <row r="1167" s="26" customFormat="1" ht="18" customHeight="1"/>
    <row r="1168" s="26" customFormat="1" ht="18" customHeight="1"/>
    <row r="1169" s="26" customFormat="1" ht="18" customHeight="1"/>
    <row r="1170" s="26" customFormat="1" ht="18" customHeight="1"/>
    <row r="1171" s="26" customFormat="1" ht="18" customHeight="1"/>
    <row r="1172" s="26" customFormat="1" ht="18" customHeight="1"/>
    <row r="1173" s="26" customFormat="1" ht="18" customHeight="1"/>
    <row r="1174" s="26" customFormat="1" ht="18" customHeight="1"/>
    <row r="1175" s="26" customFormat="1" ht="18" customHeight="1"/>
    <row r="1176" s="26" customFormat="1" ht="18" customHeight="1"/>
    <row r="1177" s="26" customFormat="1" ht="18" customHeight="1"/>
    <row r="1178" s="26" customFormat="1" ht="18" customHeight="1"/>
    <row r="1179" s="26" customFormat="1" ht="18" customHeight="1"/>
    <row r="1180" s="26" customFormat="1" ht="18" customHeight="1"/>
    <row r="1181" s="26" customFormat="1" ht="18" customHeight="1"/>
    <row r="1182" s="26" customFormat="1" ht="18" customHeight="1"/>
    <row r="1183" s="26" customFormat="1" ht="18" customHeight="1"/>
    <row r="1184" s="26" customFormat="1" ht="18" customHeight="1"/>
    <row r="1185" s="26" customFormat="1" ht="18" customHeight="1"/>
    <row r="1186" s="26" customFormat="1" ht="18" customHeight="1"/>
    <row r="1187" s="26" customFormat="1" ht="18" customHeight="1"/>
    <row r="1188" s="26" customFormat="1" ht="18" customHeight="1"/>
    <row r="1189" s="26" customFormat="1" ht="18" customHeight="1"/>
    <row r="1190" s="26" customFormat="1" ht="18" customHeight="1"/>
    <row r="1191" s="26" customFormat="1" ht="18" customHeight="1"/>
    <row r="1192" s="26" customFormat="1" ht="18" customHeight="1"/>
    <row r="1193" s="26" customFormat="1" ht="18" customHeight="1"/>
    <row r="1194" s="26" customFormat="1" ht="18" customHeight="1"/>
    <row r="1195" s="26" customFormat="1" ht="18" customHeight="1"/>
    <row r="1196" s="26" customFormat="1" ht="18" customHeight="1"/>
    <row r="1197" s="26" customFormat="1" ht="18" customHeight="1"/>
    <row r="1198" s="26" customFormat="1" ht="18" customHeight="1"/>
    <row r="1199" s="26" customFormat="1" ht="18" customHeight="1"/>
    <row r="1200" s="26" customFormat="1" ht="18" customHeight="1"/>
    <row r="1201" s="26" customFormat="1" ht="18" customHeight="1"/>
    <row r="1202" s="26" customFormat="1" ht="18" customHeight="1"/>
    <row r="1203" s="26" customFormat="1" ht="18" customHeight="1"/>
    <row r="1204" s="26" customFormat="1" ht="18" customHeight="1"/>
    <row r="1205" s="26" customFormat="1" ht="18" customHeight="1"/>
    <row r="1206" s="26" customFormat="1" ht="18" customHeight="1"/>
    <row r="1207" s="26" customFormat="1" ht="18" customHeight="1"/>
    <row r="1208" s="26" customFormat="1" ht="18" customHeight="1"/>
    <row r="1209" s="26" customFormat="1" ht="18" customHeight="1"/>
    <row r="1210" s="26" customFormat="1" ht="18" customHeight="1"/>
    <row r="1211" s="26" customFormat="1" ht="18" customHeight="1"/>
    <row r="1212" s="26" customFormat="1" ht="18" customHeight="1"/>
    <row r="1213" s="26" customFormat="1" ht="18" customHeight="1"/>
    <row r="1214" s="26" customFormat="1" ht="18" customHeight="1"/>
    <row r="1215" s="26" customFormat="1" ht="18" customHeight="1"/>
    <row r="1216" s="26" customFormat="1" ht="18" customHeight="1"/>
    <row r="1217" s="26" customFormat="1" ht="18" customHeight="1"/>
    <row r="1218" s="26" customFormat="1" ht="18" customHeight="1"/>
    <row r="1219" s="26" customFormat="1" ht="18" customHeight="1"/>
    <row r="1220" s="26" customFormat="1" ht="18" customHeight="1"/>
    <row r="1221" s="26" customFormat="1" ht="18" customHeight="1"/>
    <row r="1222" s="26" customFormat="1" ht="18" customHeight="1"/>
    <row r="1223" s="26" customFormat="1" ht="18" customHeight="1"/>
    <row r="1224" s="26" customFormat="1" ht="18" customHeight="1"/>
    <row r="1225" s="26" customFormat="1" ht="18" customHeight="1"/>
    <row r="1226" s="26" customFormat="1" ht="18" customHeight="1"/>
    <row r="1227" s="26" customFormat="1" ht="18" customHeight="1"/>
    <row r="1228" s="26" customFormat="1" ht="18" customHeight="1"/>
    <row r="1229" s="26" customFormat="1" ht="18" customHeight="1"/>
    <row r="1230" s="26" customFormat="1" ht="18" customHeight="1"/>
    <row r="1231" s="26" customFormat="1" ht="18" customHeight="1"/>
    <row r="1232" s="26" customFormat="1" ht="18" customHeight="1"/>
    <row r="1233" s="26" customFormat="1" ht="18" customHeight="1"/>
    <row r="1234" s="26" customFormat="1" ht="18" customHeight="1"/>
    <row r="1235" s="26" customFormat="1" ht="18" customHeight="1"/>
    <row r="1236" s="26" customFormat="1" ht="18" customHeight="1"/>
    <row r="1237" s="26" customFormat="1" ht="18" customHeight="1"/>
    <row r="1238" s="26" customFormat="1" ht="18" customHeight="1"/>
    <row r="1239" s="26" customFormat="1" ht="18" customHeight="1"/>
    <row r="1240" s="26" customFormat="1" ht="18" customHeight="1"/>
    <row r="1241" s="26" customFormat="1" ht="18" customHeight="1"/>
    <row r="1242" s="26" customFormat="1" ht="18" customHeight="1"/>
    <row r="1243" s="26" customFormat="1" ht="18" customHeight="1"/>
    <row r="1244" s="26" customFormat="1" ht="18" customHeight="1"/>
    <row r="1245" s="26" customFormat="1" ht="18" customHeight="1"/>
    <row r="1246" s="26" customFormat="1" ht="18" customHeight="1"/>
    <row r="1247" s="26" customFormat="1" ht="18" customHeight="1"/>
    <row r="1248" s="26" customFormat="1" ht="18" customHeight="1"/>
    <row r="1249" s="26" customFormat="1" ht="18" customHeight="1"/>
    <row r="1250" s="26" customFormat="1" ht="18" customHeight="1"/>
    <row r="1251" s="26" customFormat="1" ht="18" customHeight="1"/>
    <row r="1252" s="26" customFormat="1" ht="18" customHeight="1"/>
    <row r="1253" s="26" customFormat="1" ht="18" customHeight="1"/>
    <row r="1254" s="26" customFormat="1" ht="18" customHeight="1"/>
    <row r="1255" s="26" customFormat="1" ht="18" customHeight="1"/>
    <row r="1256" s="26" customFormat="1" ht="18" customHeight="1"/>
    <row r="1257" s="26" customFormat="1" ht="18" customHeight="1"/>
    <row r="1258" s="26" customFormat="1" ht="18" customHeight="1"/>
    <row r="1259" s="26" customFormat="1" ht="18" customHeight="1"/>
    <row r="1260" s="26" customFormat="1" ht="18" customHeight="1"/>
    <row r="1261" s="26" customFormat="1" ht="18" customHeight="1"/>
    <row r="1262" s="26" customFormat="1" ht="18" customHeight="1"/>
    <row r="1263" s="26" customFormat="1" ht="18" customHeight="1"/>
    <row r="1264" s="26" customFormat="1" ht="18" customHeight="1"/>
    <row r="1265" s="26" customFormat="1" ht="18" customHeight="1"/>
    <row r="1266" s="26" customFormat="1" ht="18" customHeight="1"/>
    <row r="1267" s="26" customFormat="1" ht="18" customHeight="1"/>
    <row r="1268" s="26" customFormat="1" ht="18" customHeight="1"/>
    <row r="1269" s="26" customFormat="1" ht="18" customHeight="1"/>
    <row r="1270" s="26" customFormat="1" ht="18" customHeight="1"/>
    <row r="1271" s="26" customFormat="1" ht="18" customHeight="1"/>
    <row r="1272" s="26" customFormat="1" ht="18" customHeight="1"/>
    <row r="1273" s="26" customFormat="1" ht="18" customHeight="1"/>
    <row r="1274" s="26" customFormat="1" ht="18" customHeight="1"/>
    <row r="1275" s="26" customFormat="1" ht="18" customHeight="1"/>
    <row r="1276" s="26" customFormat="1" ht="18" customHeight="1"/>
    <row r="1277" s="26" customFormat="1" ht="18" customHeight="1"/>
    <row r="1278" s="26" customFormat="1" ht="18" customHeight="1"/>
    <row r="1279" s="26" customFormat="1" ht="18" customHeight="1"/>
    <row r="1280" s="26" customFormat="1" ht="18" customHeight="1"/>
    <row r="1281" s="26" customFormat="1" ht="18" customHeight="1"/>
    <row r="1282" s="26" customFormat="1" ht="18" customHeight="1"/>
    <row r="1283" s="26" customFormat="1" ht="18" customHeight="1"/>
    <row r="1284" s="26" customFormat="1" ht="18" customHeight="1"/>
    <row r="1285" s="26" customFormat="1" ht="18" customHeight="1"/>
    <row r="1286" s="26" customFormat="1" ht="18" customHeight="1"/>
    <row r="1287" s="26" customFormat="1" ht="18" customHeight="1"/>
    <row r="1288" s="26" customFormat="1" ht="18" customHeight="1"/>
    <row r="1289" s="26" customFormat="1" ht="18" customHeight="1"/>
    <row r="1290" s="26" customFormat="1" ht="18" customHeight="1"/>
    <row r="1291" s="26" customFormat="1" ht="18" customHeight="1"/>
    <row r="1292" s="26" customFormat="1" ht="18" customHeight="1"/>
    <row r="1293" s="26" customFormat="1" ht="18" customHeight="1"/>
    <row r="1294" s="26" customFormat="1" ht="18" customHeight="1"/>
    <row r="1295" s="26" customFormat="1" ht="18" customHeight="1"/>
    <row r="1296" s="26" customFormat="1" ht="18" customHeight="1"/>
    <row r="1297" s="26" customFormat="1" ht="18" customHeight="1"/>
    <row r="1298" s="26" customFormat="1" ht="18" customHeight="1"/>
    <row r="1299" s="26" customFormat="1" ht="18" customHeight="1"/>
    <row r="1300" s="26" customFormat="1" ht="18" customHeight="1"/>
    <row r="1301" s="26" customFormat="1" ht="18" customHeight="1"/>
    <row r="1302" s="26" customFormat="1" ht="18" customHeight="1"/>
    <row r="1303" s="26" customFormat="1" ht="18" customHeight="1"/>
    <row r="1304" s="26" customFormat="1" ht="18" customHeight="1"/>
    <row r="1305" s="26" customFormat="1" ht="18" customHeight="1"/>
    <row r="1306" s="26" customFormat="1" ht="18" customHeight="1"/>
    <row r="1307" s="26" customFormat="1" ht="18" customHeight="1"/>
    <row r="1308" s="26" customFormat="1" ht="18" customHeight="1"/>
    <row r="1309" s="26" customFormat="1" ht="18" customHeight="1"/>
    <row r="1310" s="26" customFormat="1" ht="18" customHeight="1"/>
    <row r="1311" s="26" customFormat="1" ht="18" customHeight="1"/>
    <row r="1312" s="26" customFormat="1" ht="18" customHeight="1"/>
    <row r="1313" s="26" customFormat="1" ht="18" customHeight="1"/>
    <row r="1314" s="26" customFormat="1" ht="18" customHeight="1"/>
    <row r="1315" s="26" customFormat="1" ht="18" customHeight="1"/>
    <row r="1316" s="26" customFormat="1" ht="18" customHeight="1"/>
    <row r="1317" s="26" customFormat="1" ht="18" customHeight="1"/>
    <row r="1318" s="26" customFormat="1" ht="18" customHeight="1"/>
    <row r="1319" s="26" customFormat="1" ht="18" customHeight="1"/>
    <row r="1320" s="26" customFormat="1" ht="18" customHeight="1"/>
    <row r="1321" s="26" customFormat="1" ht="18" customHeight="1"/>
    <row r="1322" s="26" customFormat="1" ht="18" customHeight="1"/>
    <row r="1323" s="26" customFormat="1" ht="18" customHeight="1"/>
    <row r="1324" s="26" customFormat="1" ht="18" customHeight="1"/>
    <row r="1325" s="26" customFormat="1" ht="18" customHeight="1"/>
    <row r="1326" s="26" customFormat="1" ht="18" customHeight="1"/>
    <row r="1327" s="26" customFormat="1" ht="18" customHeight="1"/>
    <row r="1328" s="26" customFormat="1" ht="18" customHeight="1"/>
    <row r="1329" s="26" customFormat="1" ht="18" customHeight="1"/>
    <row r="1330" s="26" customFormat="1" ht="18" customHeight="1"/>
    <row r="1331" s="26" customFormat="1" ht="18" customHeight="1"/>
    <row r="1332" s="26" customFormat="1" ht="18" customHeight="1"/>
    <row r="1333" s="26" customFormat="1" ht="18" customHeight="1"/>
    <row r="1334" s="26" customFormat="1" ht="18" customHeight="1"/>
    <row r="1335" s="26" customFormat="1" ht="18" customHeight="1"/>
    <row r="1336" s="26" customFormat="1" ht="18" customHeight="1"/>
    <row r="1337" s="26" customFormat="1" ht="18" customHeight="1"/>
    <row r="1338" s="26" customFormat="1" ht="18" customHeight="1"/>
    <row r="1339" s="26" customFormat="1" ht="18" customHeight="1"/>
    <row r="1340" s="26" customFormat="1" ht="18" customHeight="1"/>
    <row r="1341" s="26" customFormat="1" ht="18" customHeight="1"/>
    <row r="1342" s="26" customFormat="1" ht="18" customHeight="1"/>
    <row r="1343" s="26" customFormat="1" ht="18" customHeight="1"/>
    <row r="1344" s="26" customFormat="1" ht="18" customHeight="1"/>
    <row r="1345" s="26" customFormat="1" ht="18" customHeight="1"/>
    <row r="1346" s="26" customFormat="1" ht="18" customHeight="1"/>
    <row r="1347" s="26" customFormat="1" ht="18" customHeight="1"/>
    <row r="1348" s="26" customFormat="1" ht="18" customHeight="1"/>
    <row r="1349" s="26" customFormat="1" ht="18" customHeight="1"/>
    <row r="1350" s="26" customFormat="1" ht="18" customHeight="1"/>
    <row r="1351" s="26" customFormat="1" ht="18" customHeight="1"/>
    <row r="1352" s="26" customFormat="1" ht="18" customHeight="1"/>
    <row r="1353" s="26" customFormat="1" ht="18" customHeight="1"/>
    <row r="1354" s="26" customFormat="1" ht="18" customHeight="1"/>
    <row r="1355" s="26" customFormat="1" ht="18" customHeight="1"/>
    <row r="1356" s="26" customFormat="1" ht="18" customHeight="1"/>
    <row r="1357" s="26" customFormat="1" ht="18" customHeight="1"/>
    <row r="1358" s="26" customFormat="1" ht="18" customHeight="1"/>
    <row r="1359" s="26" customFormat="1" ht="18" customHeight="1"/>
    <row r="1360" s="26" customFormat="1" ht="18" customHeight="1"/>
    <row r="1361" s="26" customFormat="1" ht="18" customHeight="1"/>
    <row r="1362" s="26" customFormat="1" ht="18" customHeight="1"/>
    <row r="1363" s="26" customFormat="1" ht="18" customHeight="1"/>
    <row r="1364" s="26" customFormat="1" ht="18" customHeight="1"/>
    <row r="1365" s="26" customFormat="1" ht="18" customHeight="1"/>
    <row r="1366" s="26" customFormat="1" ht="18" customHeight="1"/>
    <row r="1367" s="26" customFormat="1" ht="18" customHeight="1"/>
    <row r="1368" s="26" customFormat="1" ht="18" customHeight="1"/>
    <row r="1369" s="26" customFormat="1" ht="18" customHeight="1"/>
    <row r="1370" s="26" customFormat="1" ht="18" customHeight="1"/>
    <row r="1371" s="26" customFormat="1" ht="18" customHeight="1"/>
    <row r="1372" s="26" customFormat="1" ht="18" customHeight="1"/>
    <row r="1373" s="26" customFormat="1" ht="18" customHeight="1"/>
    <row r="1374" s="26" customFormat="1" ht="18" customHeight="1"/>
    <row r="1375" s="26" customFormat="1" ht="18" customHeight="1"/>
    <row r="1376" s="26" customFormat="1" ht="18" customHeight="1"/>
    <row r="1377" s="26" customFormat="1" ht="18" customHeight="1"/>
    <row r="1378" s="26" customFormat="1" ht="18" customHeight="1"/>
    <row r="1379" s="26" customFormat="1" ht="18" customHeight="1"/>
    <row r="1380" s="26" customFormat="1" ht="18" customHeight="1"/>
    <row r="1381" s="26" customFormat="1" ht="18" customHeight="1"/>
    <row r="1382" s="26" customFormat="1" ht="18" customHeight="1"/>
    <row r="1383" s="26" customFormat="1" ht="18" customHeight="1"/>
    <row r="1384" s="26" customFormat="1" ht="18" customHeight="1"/>
    <row r="1385" s="26" customFormat="1" ht="18" customHeight="1"/>
    <row r="1386" s="26" customFormat="1" ht="18" customHeight="1"/>
    <row r="1387" s="26" customFormat="1" ht="18" customHeight="1"/>
    <row r="1388" s="26" customFormat="1" ht="18" customHeight="1"/>
    <row r="1389" s="26" customFormat="1" ht="18" customHeight="1"/>
    <row r="1390" s="26" customFormat="1" ht="18" customHeight="1"/>
    <row r="1391" s="26" customFormat="1" ht="18" customHeight="1"/>
    <row r="1392" s="26" customFormat="1" ht="18" customHeight="1"/>
    <row r="1393" s="26" customFormat="1" ht="18" customHeight="1"/>
    <row r="1394" s="26" customFormat="1" ht="18" customHeight="1"/>
    <row r="1395" s="26" customFormat="1" ht="18" customHeight="1"/>
    <row r="1396" s="26" customFormat="1" ht="18" customHeight="1"/>
    <row r="1397" s="26" customFormat="1" ht="18" customHeight="1"/>
    <row r="1398" s="26" customFormat="1" ht="18" customHeight="1"/>
    <row r="1399" s="26" customFormat="1" ht="18" customHeight="1"/>
    <row r="1400" s="26" customFormat="1" ht="18" customHeight="1"/>
    <row r="1401" s="26" customFormat="1" ht="18" customHeight="1"/>
    <row r="1402" s="26" customFormat="1" ht="18" customHeight="1"/>
    <row r="1403" s="26" customFormat="1" ht="18" customHeight="1"/>
    <row r="1404" s="26" customFormat="1" ht="18" customHeight="1"/>
    <row r="1405" s="26" customFormat="1" ht="18" customHeight="1"/>
    <row r="1406" s="26" customFormat="1" ht="18" customHeight="1"/>
    <row r="1407" s="26" customFormat="1" ht="18" customHeight="1"/>
    <row r="1408" s="26" customFormat="1" ht="18" customHeight="1"/>
    <row r="1409" s="26" customFormat="1" ht="18" customHeight="1"/>
    <row r="1410" s="26" customFormat="1" ht="18" customHeight="1"/>
    <row r="1411" s="26" customFormat="1" ht="18" customHeight="1"/>
    <row r="1412" s="26" customFormat="1" ht="18" customHeight="1"/>
    <row r="1413" s="26" customFormat="1" ht="18" customHeight="1"/>
    <row r="1414" s="26" customFormat="1" ht="18" customHeight="1"/>
    <row r="1415" s="26" customFormat="1" ht="18" customHeight="1"/>
    <row r="1416" s="26" customFormat="1" ht="18" customHeight="1"/>
    <row r="1417" s="26" customFormat="1" ht="18" customHeight="1"/>
    <row r="1418" s="26" customFormat="1" ht="18" customHeight="1"/>
    <row r="1419" s="26" customFormat="1" ht="18" customHeight="1"/>
    <row r="1420" s="26" customFormat="1" ht="18" customHeight="1"/>
    <row r="1421" s="26" customFormat="1" ht="18" customHeight="1"/>
    <row r="1422" s="26" customFormat="1" ht="18" customHeight="1"/>
    <row r="1423" s="26" customFormat="1" ht="18" customHeight="1"/>
    <row r="1424" s="26" customFormat="1" ht="18" customHeight="1"/>
    <row r="1425" s="26" customFormat="1" ht="18" customHeight="1"/>
    <row r="1426" s="26" customFormat="1" ht="18" customHeight="1"/>
    <row r="1427" s="26" customFormat="1" ht="18" customHeight="1"/>
    <row r="1428" s="26" customFormat="1" ht="18" customHeight="1"/>
    <row r="1429" s="26" customFormat="1" ht="18" customHeight="1"/>
    <row r="1430" s="26" customFormat="1" ht="18" customHeight="1"/>
    <row r="1431" s="26" customFormat="1" ht="18" customHeight="1"/>
    <row r="1432" s="26" customFormat="1" ht="18" customHeight="1"/>
    <row r="1433" s="26" customFormat="1" ht="18" customHeight="1"/>
    <row r="1434" s="26" customFormat="1" ht="18" customHeight="1"/>
    <row r="1435" s="26" customFormat="1" ht="18" customHeight="1"/>
    <row r="1436" s="26" customFormat="1" ht="18" customHeight="1"/>
    <row r="1437" s="26" customFormat="1" ht="18" customHeight="1"/>
    <row r="1438" s="26" customFormat="1" ht="18" customHeight="1"/>
    <row r="1439" s="26" customFormat="1" ht="18" customHeight="1"/>
    <row r="1440" s="26" customFormat="1" ht="18" customHeight="1"/>
    <row r="1441" s="26" customFormat="1" ht="18" customHeight="1"/>
    <row r="1442" s="26" customFormat="1" ht="18" customHeight="1"/>
    <row r="1443" s="26" customFormat="1" ht="18" customHeight="1"/>
    <row r="1444" s="26" customFormat="1" ht="18" customHeight="1"/>
    <row r="1445" s="26" customFormat="1" ht="18" customHeight="1"/>
    <row r="1446" s="26" customFormat="1" ht="18" customHeight="1"/>
    <row r="1447" s="26" customFormat="1" ht="18" customHeight="1"/>
    <row r="1448" s="26" customFormat="1" ht="18" customHeight="1"/>
    <row r="1449" s="26" customFormat="1" ht="18" customHeight="1"/>
    <row r="1450" s="26" customFormat="1" ht="18" customHeight="1"/>
    <row r="1451" s="26" customFormat="1" ht="18" customHeight="1"/>
    <row r="1452" s="26" customFormat="1" ht="18" customHeight="1"/>
    <row r="1453" s="26" customFormat="1" ht="18" customHeight="1"/>
    <row r="1454" s="26" customFormat="1" ht="18" customHeight="1"/>
    <row r="1455" s="26" customFormat="1" ht="18" customHeight="1"/>
    <row r="1456" s="26" customFormat="1" ht="18" customHeight="1"/>
    <row r="1457" s="26" customFormat="1" ht="18" customHeight="1"/>
    <row r="1458" s="26" customFormat="1" ht="18" customHeight="1"/>
    <row r="1459" s="26" customFormat="1" ht="18" customHeight="1"/>
    <row r="1460" s="26" customFormat="1" ht="18" customHeight="1"/>
    <row r="1461" s="26" customFormat="1" ht="18" customHeight="1"/>
    <row r="1462" s="26" customFormat="1" ht="18" customHeight="1"/>
    <row r="1463" s="26" customFormat="1" ht="18" customHeight="1"/>
    <row r="1464" s="26" customFormat="1" ht="18" customHeight="1"/>
    <row r="1465" s="26" customFormat="1" ht="18" customHeight="1"/>
    <row r="1466" s="26" customFormat="1" ht="18" customHeight="1"/>
    <row r="1467" s="26" customFormat="1" ht="18" customHeight="1"/>
    <row r="1468" s="26" customFormat="1" ht="18" customHeight="1"/>
    <row r="1469" s="26" customFormat="1" ht="18" customHeight="1"/>
    <row r="1470" s="26" customFormat="1" ht="18" customHeight="1"/>
    <row r="1471" s="26" customFormat="1" ht="18" customHeight="1"/>
    <row r="1472" s="26" customFormat="1" ht="18" customHeight="1"/>
    <row r="1473" s="26" customFormat="1" ht="18" customHeight="1"/>
    <row r="1474" s="26" customFormat="1" ht="18" customHeight="1"/>
    <row r="1475" s="26" customFormat="1" ht="18" customHeight="1"/>
    <row r="1476" s="26" customFormat="1" ht="18" customHeight="1"/>
    <row r="1477" s="26" customFormat="1" ht="18" customHeight="1"/>
    <row r="1478" s="26" customFormat="1" ht="18" customHeight="1"/>
    <row r="1479" s="26" customFormat="1" ht="18" customHeight="1"/>
    <row r="1480" s="26" customFormat="1" ht="18" customHeight="1"/>
    <row r="1481" s="26" customFormat="1" ht="18" customHeight="1"/>
    <row r="1482" s="26" customFormat="1" ht="18" customHeight="1"/>
    <row r="1483" s="26" customFormat="1" ht="18" customHeight="1"/>
    <row r="1484" s="26" customFormat="1" ht="18" customHeight="1"/>
    <row r="1485" s="26" customFormat="1" ht="18" customHeight="1"/>
    <row r="1486" s="26" customFormat="1" ht="18" customHeight="1"/>
    <row r="1487" s="26" customFormat="1" ht="18" customHeight="1"/>
    <row r="1488" s="26" customFormat="1" ht="18" customHeight="1"/>
    <row r="1489" s="26" customFormat="1" ht="18" customHeight="1"/>
    <row r="1490" s="26" customFormat="1" ht="18" customHeight="1"/>
    <row r="1491" s="26" customFormat="1" ht="18" customHeight="1"/>
    <row r="1492" s="26" customFormat="1" ht="18" customHeight="1"/>
    <row r="1493" s="26" customFormat="1" ht="18" customHeight="1"/>
    <row r="1494" s="26" customFormat="1" ht="18" customHeight="1"/>
    <row r="1495" s="26" customFormat="1" ht="18" customHeight="1"/>
    <row r="1496" s="26" customFormat="1" ht="18" customHeight="1"/>
    <row r="1497" s="26" customFormat="1" ht="18" customHeight="1"/>
    <row r="1498" s="26" customFormat="1" ht="18" customHeight="1"/>
    <row r="1499" s="26" customFormat="1" ht="18" customHeight="1"/>
    <row r="1500" s="26" customFormat="1" ht="18" customHeight="1"/>
    <row r="1501" s="26" customFormat="1" ht="18" customHeight="1"/>
    <row r="1502" s="26" customFormat="1" ht="18" customHeight="1"/>
    <row r="1503" s="26" customFormat="1" ht="18" customHeight="1"/>
    <row r="1504" s="26" customFormat="1" ht="18" customHeight="1"/>
    <row r="1505" s="26" customFormat="1" ht="18" customHeight="1"/>
    <row r="1506" s="26" customFormat="1" ht="18" customHeight="1"/>
    <row r="1507" s="26" customFormat="1" ht="18" customHeight="1"/>
    <row r="1508" s="26" customFormat="1" ht="18" customHeight="1"/>
    <row r="1509" s="26" customFormat="1" ht="18" customHeight="1"/>
    <row r="1510" s="26" customFormat="1" ht="18" customHeight="1"/>
    <row r="1511" s="26" customFormat="1" ht="18" customHeight="1"/>
    <row r="1512" s="26" customFormat="1" ht="18" customHeight="1"/>
    <row r="1513" s="26" customFormat="1" ht="18" customHeight="1"/>
    <row r="1514" s="26" customFormat="1" ht="18" customHeight="1"/>
    <row r="1515" s="26" customFormat="1" ht="18" customHeight="1"/>
    <row r="1516" s="26" customFormat="1" ht="18" customHeight="1"/>
    <row r="1517" s="26" customFormat="1" ht="18" customHeight="1"/>
    <row r="1518" s="26" customFormat="1" ht="18" customHeight="1"/>
    <row r="1519" s="26" customFormat="1" ht="18" customHeight="1"/>
    <row r="1520" s="26" customFormat="1" ht="18" customHeight="1"/>
    <row r="1521" s="26" customFormat="1" ht="18" customHeight="1"/>
    <row r="1522" s="26" customFormat="1" ht="18" customHeight="1"/>
    <row r="1523" s="26" customFormat="1" ht="18" customHeight="1"/>
    <row r="1524" s="26" customFormat="1" ht="18" customHeight="1"/>
    <row r="1525" s="26" customFormat="1" ht="18" customHeight="1"/>
    <row r="1526" s="26" customFormat="1" ht="18" customHeight="1"/>
    <row r="1527" s="26" customFormat="1" ht="18" customHeight="1"/>
    <row r="1528" s="26" customFormat="1" ht="18" customHeight="1"/>
    <row r="1529" s="26" customFormat="1" ht="18" customHeight="1"/>
    <row r="1530" s="26" customFormat="1" ht="18" customHeight="1"/>
    <row r="1531" s="26" customFormat="1" ht="18" customHeight="1"/>
    <row r="1532" s="26" customFormat="1" ht="18" customHeight="1"/>
    <row r="1533" s="26" customFormat="1" ht="18" customHeight="1"/>
    <row r="1534" s="26" customFormat="1" ht="18" customHeight="1"/>
    <row r="1535" s="26" customFormat="1" ht="18" customHeight="1"/>
    <row r="1536" s="26" customFormat="1" ht="18" customHeight="1"/>
    <row r="1537" s="26" customFormat="1" ht="18" customHeight="1"/>
    <row r="1538" s="26" customFormat="1" ht="18" customHeight="1"/>
    <row r="1539" s="26" customFormat="1" ht="18" customHeight="1"/>
    <row r="1540" s="26" customFormat="1" ht="18" customHeight="1"/>
    <row r="1541" s="26" customFormat="1" ht="18" customHeight="1"/>
    <row r="1542" s="26" customFormat="1" ht="18" customHeight="1"/>
    <row r="1543" s="26" customFormat="1" ht="18" customHeight="1"/>
    <row r="1544" s="26" customFormat="1" ht="18" customHeight="1"/>
    <row r="1545" s="26" customFormat="1" ht="18" customHeight="1"/>
    <row r="1546" s="26" customFormat="1" ht="18" customHeight="1"/>
    <row r="1547" s="26" customFormat="1" ht="18" customHeight="1"/>
    <row r="1548" s="26" customFormat="1" ht="18" customHeight="1"/>
    <row r="1549" s="26" customFormat="1" ht="18" customHeight="1"/>
    <row r="1550" s="26" customFormat="1" ht="18" customHeight="1"/>
    <row r="1551" s="26" customFormat="1" ht="18" customHeight="1"/>
    <row r="1552" s="26" customFormat="1" ht="18" customHeight="1"/>
    <row r="1553" s="26" customFormat="1" ht="18" customHeight="1"/>
    <row r="1554" s="26" customFormat="1" ht="18" customHeight="1"/>
    <row r="1555" s="26" customFormat="1" ht="18" customHeight="1"/>
    <row r="1556" s="29" customFormat="1" ht="18" customHeight="1"/>
    <row r="1557" s="29" customFormat="1" ht="18" customHeight="1"/>
    <row r="1558" s="29" customFormat="1" ht="18" customHeight="1"/>
    <row r="1559" s="29" customFormat="1" ht="18" customHeight="1"/>
    <row r="1560" s="29" customFormat="1" ht="18" customHeight="1"/>
    <row r="1561" s="29" customFormat="1" ht="18" customHeight="1"/>
    <row r="1562" s="29" customFormat="1" ht="18" customHeight="1"/>
    <row r="1563" s="29" customFormat="1" ht="18" customHeight="1"/>
    <row r="1564" s="29" customFormat="1" ht="18" customHeight="1"/>
    <row r="1565" s="29" customFormat="1" ht="18" customHeight="1"/>
    <row r="1566" s="29" customFormat="1" ht="18" customHeight="1"/>
    <row r="1567" s="29" customFormat="1" ht="18" customHeight="1"/>
    <row r="1568" s="29" customFormat="1" ht="18" customHeight="1"/>
    <row r="1569" s="29" customFormat="1" ht="18" customHeight="1"/>
    <row r="1570" s="29" customFormat="1" ht="18" customHeight="1"/>
    <row r="1571" s="29" customFormat="1" ht="18" customHeight="1"/>
    <row r="1572" s="29" customFormat="1" ht="18" customHeight="1"/>
    <row r="1573" s="29" customFormat="1" ht="18" customHeight="1"/>
    <row r="1574" s="29" customFormat="1" ht="18" customHeight="1"/>
    <row r="1575" s="29" customFormat="1" ht="18" customHeight="1"/>
    <row r="1576" s="29" customFormat="1" ht="18" customHeight="1"/>
    <row r="1577" s="29" customFormat="1" ht="18" customHeight="1"/>
    <row r="1578" s="29" customFormat="1" ht="18" customHeight="1"/>
    <row r="1579" s="29" customFormat="1" ht="18" customHeight="1"/>
    <row r="1580" s="29" customFormat="1" ht="18" customHeight="1"/>
  </sheetData>
  <autoFilter ref="A1:S1555" xr:uid="{00000000-0009-0000-0000-000000000000}"/>
  <conditionalFormatting sqref="A2:A169 A1581:A1048576">
    <cfRule type="duplicateValues" dxfId="4" priority="12"/>
  </conditionalFormatting>
  <conditionalFormatting sqref="B2:B169 B1581:B1048576">
    <cfRule type="duplicateValues" dxfId="3" priority="9"/>
  </conditionalFormatting>
  <conditionalFormatting sqref="B1">
    <cfRule type="duplicateValues" dxfId="2" priority="25"/>
  </conditionalFormatting>
  <conditionalFormatting sqref="J1 J1581:J1048576">
    <cfRule type="duplicateValues" dxfId="1" priority="28"/>
    <cfRule type="duplicateValues" dxfId="0" priority="29"/>
  </conditionalFormatting>
  <hyperlinks>
    <hyperlink ref="G153" r:id="rId1" display="TS.BS" xr:uid="{00000000-0004-0000-0000-000005000000}"/>
    <hyperlink ref="G132:G136" r:id="rId2" display="TS.BS" xr:uid="{00000000-0004-0000-0000-000004000000}"/>
    <hyperlink ref="G130" r:id="rId3" display="TS.BS" xr:uid="{00000000-0004-0000-0000-000003000000}"/>
    <hyperlink ref="G3:G5" r:id="rId4" display="TS.BS" xr:uid="{00000000-0004-0000-0000-000002000000}"/>
    <hyperlink ref="G2" r:id="rId5" display="TS.BS" xr:uid="{00000000-0004-0000-0000-00000000000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Harry Ung</cp:lastModifiedBy>
  <dcterms:created xsi:type="dcterms:W3CDTF">2026-05-20T16:54:54Z</dcterms:created>
  <dcterms:modified xsi:type="dcterms:W3CDTF">2026-08-26T05:15:54Z</dcterms:modified>
</cp:coreProperties>
</file>